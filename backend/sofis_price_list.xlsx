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codeName="ThisWorkbook"/>
  <xr:revisionPtr revIDLastSave="40" documentId="8_{16285DB3-75A5-4C37-A718-A2FF3488997C}" xr6:coauthVersionLast="47" xr6:coauthVersionMax="47" xr10:uidLastSave="{0C824E07-07E3-4813-A148-3E83C8B68738}"/>
  <workbookProtection workbookAlgorithmName="SHA-512" workbookHashValue="Kk9FYvYxrbfIZK7w61cXRFiTsGghxsVSBSKDDt9/0pY3kNoCZtj4Ieo08bM5XEd1XH9AKbnD0HKdcmdEJglLMA==" workbookSaltValue="2TcqaCNzONj4ZtZksoc4dQ==" workbookSpinCount="100000" lockStructure="1"/>
  <bookViews>
    <workbookView xWindow="-9120" yWindow="12852" windowWidth="23256" windowHeight="12456" tabRatio="714" xr2:uid="{00000000-000D-0000-FFFF-FFFF00000000}"/>
  </bookViews>
  <sheets>
    <sheet name="SFC Interlocking" sheetId="11" r:id="rId1"/>
    <sheet name="NL Interlocking" sheetId="12" r:id="rId2"/>
    <sheet name="Drive Systems" sheetId="18" r:id="rId3"/>
    <sheet name="LockoutTagout" sheetId="21" r:id="rId4"/>
  </sheets>
  <definedNames>
    <definedName name="_xlnm._FilterDatabase" localSheetId="0" hidden="1">'SFC Interlocking'!$H$12:$H$14</definedName>
    <definedName name="_xlnm.Print_Area" localSheetId="2">'Drive Systems'!$A$1:$G$82</definedName>
    <definedName name="_xlnm.Print_Area" localSheetId="3">LockoutTagout!$A$1:$G$43</definedName>
    <definedName name="_xlnm.Print_Area" localSheetId="1">'NL Interlocking'!$A$1:$G$189</definedName>
    <definedName name="_xlnm.Print_Area" localSheetId="0">'SFC Interlocking'!$A$1:$G$282</definedName>
    <definedName name="StartDa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1" l="1"/>
  <c r="E7" i="18"/>
  <c r="E7" i="12"/>
  <c r="E6" i="21" l="1"/>
  <c r="E6" i="18"/>
  <c r="E6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CCE83D-EDB0-4109-B013-F80A8787BC8D}" keepAlive="1" name="Query - Discount Bands" description="Connection to the 'Discount Bands' query in the workbook." type="5" refreshedVersion="8" background="1" saveData="1">
    <dbPr connection="Provider=Microsoft.Mashup.OleDb.1;Data Source=$Workbook$;Location=&quot;Discount Bands&quot;;Extended Properties=&quot;&quot;" command="SELECT * FROM [Discount Bands]"/>
  </connection>
  <connection id="2" xr16:uid="{0BF60DF5-9FFA-4E5A-A09B-FEDAEA9E1013}" keepAlive="1" name="Query - PartLists" description="Connection to the 'PartLists' query in the workbook." type="5" refreshedVersion="8" background="1" saveData="1">
    <dbPr connection="Provider=Microsoft.Mashup.OleDb.1;Data Source=$Workbook$;Location=PartLists;Extended Properties=&quot;&quot;" command="SELECT * FROM [PartLists]"/>
  </connection>
</connections>
</file>

<file path=xl/sharedStrings.xml><?xml version="1.0" encoding="utf-8"?>
<sst xmlns="http://schemas.openxmlformats.org/spreadsheetml/2006/main" count="1230" uniqueCount="1007">
  <si>
    <t>J. Keplerweg 12-14</t>
  </si>
  <si>
    <t>Date</t>
  </si>
  <si>
    <t>Alphen Aan Den Rijn</t>
  </si>
  <si>
    <t>Valid Until</t>
  </si>
  <si>
    <t>+31 172 471339</t>
  </si>
  <si>
    <t>Currency</t>
  </si>
  <si>
    <t>Price List</t>
  </si>
  <si>
    <t>www.sofisglobal.com</t>
  </si>
  <si>
    <t>Note</t>
  </si>
  <si>
    <t>Product#</t>
  </si>
  <si>
    <t>Description</t>
  </si>
  <si>
    <t>Unit Price</t>
  </si>
  <si>
    <t>GL Mechanical Interlocks (SFC)</t>
  </si>
  <si>
    <t>GL anchor &amp; adaptor Set only</t>
  </si>
  <si>
    <t>GL Adaptor only</t>
  </si>
  <si>
    <t>GL Anchor Only</t>
  </si>
  <si>
    <t>GL Anchor only</t>
  </si>
  <si>
    <t>GL Adaptor Only</t>
  </si>
  <si>
    <t>GL lock body assembly with handwheel</t>
  </si>
  <si>
    <t>QL Mechanical Interlocks (SFC)</t>
  </si>
  <si>
    <t>QL Lock Body Assembly With Lever</t>
  </si>
  <si>
    <t>QL Anchor Only</t>
  </si>
  <si>
    <t>QL Adaptor Only</t>
  </si>
  <si>
    <t>DL Mechanical Interlocks (SFC)</t>
  </si>
  <si>
    <t>XDL3</t>
  </si>
  <si>
    <t>Adapter Set for a door Lock type DL3 (ratchetless)</t>
  </si>
  <si>
    <t>DL3 Bar Assembly with standard unmodified bleed screw</t>
  </si>
  <si>
    <t>XDL3/FISW</t>
  </si>
  <si>
    <t>Door Lock type DL3 (ratchetless) complete with free issue sw</t>
  </si>
  <si>
    <t>Door Lock type DL3 (ratchetless) c/w P&amp;F NCB1.5-8GM25-NO</t>
  </si>
  <si>
    <t>ATL  Mechanical Interlocks (SFC)</t>
  </si>
  <si>
    <t>ATL Anchor &amp; Adaptor Set</t>
  </si>
  <si>
    <t>ATL 10" Handwheel</t>
  </si>
  <si>
    <t>ATL 13" Handwheel</t>
  </si>
  <si>
    <t>ATL 16" Handwheel</t>
  </si>
  <si>
    <t>ATL 20" Handwheel</t>
  </si>
  <si>
    <t>Handwheel Interlock Only To Suit Manual Override on Actuated Valve</t>
  </si>
  <si>
    <t>XBL/1</t>
  </si>
  <si>
    <t>Single Key Barrier Lock</t>
  </si>
  <si>
    <t>XBL/2</t>
  </si>
  <si>
    <t>Dual Key Barrier Lock</t>
  </si>
  <si>
    <t>OTHER Mechanical Interlocks (SFC)</t>
  </si>
  <si>
    <t>XG/HL</t>
  </si>
  <si>
    <t>Single/Dual Key Gantry + Hose Lock</t>
  </si>
  <si>
    <t>XKL1</t>
  </si>
  <si>
    <t xml:space="preserve">Single Key kiosk Lock </t>
  </si>
  <si>
    <t>XKL2</t>
  </si>
  <si>
    <t>Keys (SFC)</t>
  </si>
  <si>
    <t>XSFCKEY</t>
  </si>
  <si>
    <t>SFC Operating Key</t>
  </si>
  <si>
    <t>XPNKEY</t>
  </si>
  <si>
    <t>SFC Pin Coded Operating Key</t>
  </si>
  <si>
    <t>XSFCKEYSPARE</t>
  </si>
  <si>
    <t>SFC System Master Key</t>
  </si>
  <si>
    <t>XSFCMASTERSET</t>
  </si>
  <si>
    <t>Key Management (SFC)</t>
  </si>
  <si>
    <t>XHLSTER</t>
  </si>
  <si>
    <t>Telequick holster with Tag</t>
  </si>
  <si>
    <t>Tag only for holster</t>
  </si>
  <si>
    <t>Pin Coded Key Cabinet Module</t>
  </si>
  <si>
    <t>Pin Coded Cabinet Tag</t>
  </si>
  <si>
    <t>Key Exchange Unit (3 Keys)</t>
  </si>
  <si>
    <t>Key Exchange Unit (4 Keys)</t>
  </si>
  <si>
    <t>Key Exchange Unit (5 Keys)</t>
  </si>
  <si>
    <t>Key Exchange Unit (6 Keys)</t>
  </si>
  <si>
    <t>Key Exchange Unit (7 Keys)</t>
  </si>
  <si>
    <t>Key Exchange Unit (8 Keys)</t>
  </si>
  <si>
    <t>Key Exchange Unit (9 Keys)</t>
  </si>
  <si>
    <t>Key Exchange Unit (10 Keys)</t>
  </si>
  <si>
    <t>Key Exchange Unit (11 Keys)</t>
  </si>
  <si>
    <t>Key Exchange Unit (12 Keys)</t>
  </si>
  <si>
    <t>Key Selector Unit (3 Keys)</t>
  </si>
  <si>
    <t>Key Selector Unit (4 Keys)</t>
  </si>
  <si>
    <t>Key Selector Unit (5 Keys)</t>
  </si>
  <si>
    <t>Key Selector Unit (6 Keys)</t>
  </si>
  <si>
    <t>Key Selector Unit (7 Keys)</t>
  </si>
  <si>
    <t>Key Selector Unit (8 Keys)</t>
  </si>
  <si>
    <t>Key Selector Unit (10 Keys)</t>
  </si>
  <si>
    <t>Fitting tool M12 Allen Key (SFC68500)</t>
  </si>
  <si>
    <t>Fitting tool M6 Driver (SFC16500)</t>
  </si>
  <si>
    <t>Fitting tool M8 Allen key (SFC14000)</t>
  </si>
  <si>
    <t>QLB Fitting Spanner (QLB03100)</t>
  </si>
  <si>
    <t>Mimic Graphic to Customer Specification</t>
  </si>
  <si>
    <t>Mimic Graphic to Sofis Standard</t>
  </si>
  <si>
    <t>MRL Mechanical Interlocks (NL)</t>
  </si>
  <si>
    <t>MRL Anchor &amp; Adaptor Set only</t>
  </si>
  <si>
    <t>MRL Anchor Only</t>
  </si>
  <si>
    <t>MRL Adaptor Only</t>
  </si>
  <si>
    <t>NDL Mechanical Interlocks (NL)</t>
  </si>
  <si>
    <t>NDL Anchor &amp; Adaptor Set only</t>
  </si>
  <si>
    <t>NDL Anchor Only</t>
  </si>
  <si>
    <t>NDL Adaptor Only</t>
  </si>
  <si>
    <t>CL Mechanical Interlocks (NL)</t>
  </si>
  <si>
    <t>Other Mechanical Interlocks (NL)</t>
  </si>
  <si>
    <t>XBLL-1</t>
  </si>
  <si>
    <t>XBLL-2</t>
  </si>
  <si>
    <t>XESL</t>
  </si>
  <si>
    <t>Electrical Switch Lock (Fitted to Free Issue Switch)</t>
  </si>
  <si>
    <t>Mechanical Process Control Unit - 3 Layers with SS Cabinet</t>
  </si>
  <si>
    <t>Mechanical Process Control Unit - 4 Layers with SS Cabinet</t>
  </si>
  <si>
    <t>Mechanical Process Control Unit - 5 Layers with SS Cabinet</t>
  </si>
  <si>
    <t>Mechanical Process Control Unit - 6 Layers with SS Cabinet</t>
  </si>
  <si>
    <t>Mechanical Process Control Unit - 7 Layers with SS Cabinet</t>
  </si>
  <si>
    <t>Mechanical Process Control Unit - 8 Layers with SS Cabinet</t>
  </si>
  <si>
    <t>Mechanical Process Control Unit - 9 Layers with SS Cabinet</t>
  </si>
  <si>
    <t>Mechanical Process Control Unit - 10 Layers with SS Cabinet</t>
  </si>
  <si>
    <t>Mechanical Process Control Unit - 11 Layers with SS Cabinet</t>
  </si>
  <si>
    <t>Mechanical Process Control Unit - 12 Layers with SS Cabinet</t>
  </si>
  <si>
    <t>XNLGROUPKEY</t>
  </si>
  <si>
    <t>NL Group Key</t>
  </si>
  <si>
    <t>XNLKEY</t>
  </si>
  <si>
    <t>NL Operating Key</t>
  </si>
  <si>
    <t>XNLKEYSPARE</t>
  </si>
  <si>
    <t>NL Spare Operating Key</t>
  </si>
  <si>
    <t>XNLMASTERKEY</t>
  </si>
  <si>
    <t>NL Master Key</t>
  </si>
  <si>
    <t>Key Management (NL)</t>
  </si>
  <si>
    <t>Compact Key Cabinet Block</t>
  </si>
  <si>
    <t>EasiDrive Pneumatic Tool, 35-100 Nm, max 275 RPM</t>
  </si>
  <si>
    <t>Pneumatic Easi Drive, Torque Range 20-100Nm, Max 290RPM</t>
  </si>
  <si>
    <t>EasiDrive Pneumatic Tool, 70-475 Nm, max 65 RPM</t>
  </si>
  <si>
    <t>Pneumatic Easi Drive, Torque Range 80-500Nm, Max 55RPM</t>
  </si>
  <si>
    <t>EasiDrive Pneumatic Tool, 150-950 Nm, max 30 RPM</t>
  </si>
  <si>
    <t>Pneumatic Easi Drive, Torque Range 150-950Nm, Max 30RPM</t>
  </si>
  <si>
    <t>Filter, Regulator and Lubro Pack (Local)Oil pack</t>
  </si>
  <si>
    <t>Easi Drive kit assembly to suit a Gate Valve - Rising Stem</t>
  </si>
  <si>
    <t>Easi Drive kit assembly to suit a Gate Valve - No Handwheel</t>
  </si>
  <si>
    <t>Easi Drive kit assembly to suit a Gearbox Operated Valve</t>
  </si>
  <si>
    <t>SFC handwheel (kept local to the valve(s) to work with eith</t>
  </si>
  <si>
    <t>price on request</t>
  </si>
  <si>
    <t>PWR001001</t>
  </si>
  <si>
    <t>Power Wrench Tool 5000</t>
  </si>
  <si>
    <t>Power Wrench Professional Package I</t>
  </si>
  <si>
    <t>Power Wrench Professional Package II</t>
  </si>
  <si>
    <t>Power Wrench Drive Plate 300</t>
  </si>
  <si>
    <t>Power Wrench Drive Plate 450</t>
  </si>
  <si>
    <t>Power Wrench Drive Plate 50 (Carbon Steel)</t>
  </si>
  <si>
    <t>Power Wrench Drive Plate 50 (Carbon Steel) Set of 10</t>
  </si>
  <si>
    <t>Power Wrench Drive Plate 50 (Aluminum)</t>
  </si>
  <si>
    <t>Power Wrench Drive Plate 50 XL (Carbon Steel)</t>
  </si>
  <si>
    <t>Power Wrench Wall Mount Protection Skid</t>
  </si>
  <si>
    <t>Power Wrench Air Hose Reel - Length 20m</t>
  </si>
  <si>
    <t>Power Wrench Air Hose Reel - Length 30m</t>
  </si>
  <si>
    <t>Power Wrench Air Hose Reel - Length 25m</t>
  </si>
  <si>
    <t>Power Wrench Protection Skid</t>
  </si>
  <si>
    <t>Power Wrench Storage Box</t>
  </si>
  <si>
    <t>Power Wrench Storage Box Wheels</t>
  </si>
  <si>
    <t>Power Wrench Motor Replacement</t>
  </si>
  <si>
    <t>Power Wrench Tube Replacement</t>
  </si>
  <si>
    <t>Power Wrench Repair</t>
  </si>
  <si>
    <t>XINSPECTION-PW</t>
  </si>
  <si>
    <t>Power Wrench Inspection</t>
  </si>
  <si>
    <t>Pad Lock 35x48, h=sh:38 key alike (SS shackle)</t>
  </si>
  <si>
    <t>Pad Lock, stainless steel keyed alike</t>
  </si>
  <si>
    <t>Round Aluminium Carseal Tag - Blue</t>
  </si>
  <si>
    <t>Round Aluminium Carseal Tag - Green</t>
  </si>
  <si>
    <t>Wire Lock 2.5mm x 1000mm</t>
  </si>
  <si>
    <t>Handwheel cover dia 1" - 2,5" RD/YW/BL/GR</t>
  </si>
  <si>
    <t>Handwheel cover dia 2,5" - 5" RD/YW/BL/GR</t>
  </si>
  <si>
    <t>Handwheel cover dia 5" - 6,5"RD/YW/BL/GR</t>
  </si>
  <si>
    <t>Handwheel cover dia 6,5" - 10" RD/YW/BL/GR</t>
  </si>
  <si>
    <t>Handwheel cover dia 10" - 14"RD/YW/BL/GR</t>
  </si>
  <si>
    <t>*Sofis reserves the right to change sales prices at any time if necessary.</t>
  </si>
  <si>
    <t>XSFCMASTERKEY</t>
  </si>
  <si>
    <t>PWR002022</t>
  </si>
  <si>
    <t>PWR002002</t>
  </si>
  <si>
    <t>WL2.5-XXX</t>
  </si>
  <si>
    <t>WL6-XXX</t>
  </si>
  <si>
    <t>Wire Lock 6mm Cable Diameter - different lengths and options available</t>
  </si>
  <si>
    <t>Wire Lock 2.5mm Cable Diameter - different lengths and options available</t>
  </si>
  <si>
    <t>Door Lock type DL3 complete with free issue switch</t>
  </si>
  <si>
    <t>Dual Closure Lock</t>
  </si>
  <si>
    <t>Door Lock type DL3 Mounting Kit</t>
  </si>
  <si>
    <t>Door Lock type DL3</t>
  </si>
  <si>
    <t>Single Closure Lock</t>
  </si>
  <si>
    <t>SFC Commissioning Key (pre-installed in Interlock)</t>
  </si>
  <si>
    <t>SFC Master Key Set of 8 Keys</t>
  </si>
  <si>
    <t>Single Key Bolt Lock</t>
  </si>
  <si>
    <t>Dual Key Bolt Lock</t>
  </si>
  <si>
    <t>Valve Stem Extension (SS 316, per meter)</t>
  </si>
  <si>
    <t>Handwheel Cover diameter 1" - 2,5" (red)</t>
  </si>
  <si>
    <t>Handwheel Cover diameter 2,5" - 5" (red)</t>
  </si>
  <si>
    <t>Handwheel Cover diameter 5" - 6,5" (red)</t>
  </si>
  <si>
    <t>Handwheel Cover diameter 6,5" - 10" (red)</t>
  </si>
  <si>
    <t/>
  </si>
  <si>
    <t>EDR101085</t>
  </si>
  <si>
    <t>EDR101089</t>
  </si>
  <si>
    <t>EDR101100</t>
  </si>
  <si>
    <t>EDR101149</t>
  </si>
  <si>
    <t>EasiDrive Pneumatic Tool ED1 ATEX kit including:
- ED1 Tool, 35-100 Nm, max 275 RPM
- FRL in plastic cage
- 4 meter antistatic air hose
- grounding cable
- ATEX certificate</t>
  </si>
  <si>
    <t>EasiDrive Pneumatic Tool ED5 ATEX kit including:
- ED5 Tool, 70-475 Nm, max 65 RPM
- FRL in plastic cage
- 4 meter antistatic air hose
- grounding cable
- ATEX certificate</t>
  </si>
  <si>
    <t>EDR101150</t>
  </si>
  <si>
    <t>EasiDrive Pneumatic Tool ED10 ATEX kit including:
- ED10 Tool, 150-950 Nm, max 30 RPM
- FRL in plastic cage
- 4 meter antistatic air hose
- grounding cable
- ATEX certificate</t>
  </si>
  <si>
    <t>EDR101151</t>
  </si>
  <si>
    <t>EDR101079</t>
  </si>
  <si>
    <t>EasiDrive Electric Tool, 65-650 Nm, max 42 RPM (220V, incl. weatherproof storage case)</t>
  </si>
  <si>
    <t>EasiDrive Electric Tool, 65-650 Nm, max 31 RPM (120V US/CDN plug, incl. weatherproof storage case)</t>
  </si>
  <si>
    <t>EDR101148</t>
  </si>
  <si>
    <t>EasiDrive Battery Tool, 170-700 Nm, max 21 RPM (incl. 2 x 5.2Ah 18V Li-Ion batteries, 230V charger, weatherproof storage case)</t>
  </si>
  <si>
    <t>EDR101080</t>
  </si>
  <si>
    <t>GL Interlock adapted for use with EasiDrive System</t>
  </si>
  <si>
    <t>XEASI-LOCK</t>
  </si>
  <si>
    <t>EDR101091</t>
  </si>
  <si>
    <t>Spare hose for EasiDrive Pneumatic Torque tools, 3.6 meter</t>
  </si>
  <si>
    <t>EasiDrive FRL Pack (mounted in plastic cage, incl. 3.6 meter air hose)</t>
  </si>
  <si>
    <t>FRL-L</t>
  </si>
  <si>
    <t>EasiDrive FRL Pack (mounted in metal cage, incl. 3 meter air hose, fitting in backpack)</t>
  </si>
  <si>
    <t>FRL-B</t>
  </si>
  <si>
    <t>Backpack for EasiDrive Pneumatic Tool and FRL-B</t>
  </si>
  <si>
    <t>EDR02400</t>
  </si>
  <si>
    <t>Storage Case for EasiDrive Pneumatic System (Aluminium)</t>
  </si>
  <si>
    <t>EDR101500</t>
  </si>
  <si>
    <t>Spare EasiDrive Lollipop with retaining ring for torque setup above 500Nm</t>
  </si>
  <si>
    <t>RDE19010</t>
  </si>
  <si>
    <t>EasiDrive Repair</t>
  </si>
  <si>
    <t>XEASI-REPAIR</t>
  </si>
  <si>
    <t>Power Wrench Tool (incl. retention strap, swivel connector and retention pins)</t>
  </si>
  <si>
    <t>P5600</t>
  </si>
  <si>
    <t>P5610</t>
  </si>
  <si>
    <t>P5620</t>
  </si>
  <si>
    <t>Power Wrench Hexagon Adaptor</t>
  </si>
  <si>
    <t>AE0005485</t>
  </si>
  <si>
    <t>Power Wrench Drive Plate 150 (Carbon Steel)
- Nut height 15 0mm.
- Plate diameter 250 mm.
- Coated carbon steel
- including U-bolts, nuts and washers</t>
  </si>
  <si>
    <t>P5100-150</t>
  </si>
  <si>
    <t>P5100-300</t>
  </si>
  <si>
    <t>P5100-450</t>
  </si>
  <si>
    <t>P5100-50</t>
  </si>
  <si>
    <t>P5100-50-10</t>
  </si>
  <si>
    <t>Power Wrench Drive Plate 300 (Carbon Steel)
- Nut height 300 mm.
- Plate diameter 250 mm.
- Coated carbon steel
- including U-bolts, nuts and washers</t>
  </si>
  <si>
    <t>Power Wrench Drive Plate 450 (Carbon Steel)
- Nut height 450 mm.
- Plate diameter 250 mm.
- Coated carbon steel
- including U-bolts, nuts and washers</t>
  </si>
  <si>
    <t>Power Wrench Drive Plate 50 (Carbon Steel)
- Nut height 50 mm.
- Plate diameter 250 mm.
- Coated carbon steel
- including U-bolts, nuts and washers</t>
  </si>
  <si>
    <t>Power Wrench Drive Plate 50 (Carbon Steel) Set of 10
- Nut height 50 mm.
- Plate diameter 250 mm.
- Coated carbon steel
- including U-bolts, nuts and washers</t>
  </si>
  <si>
    <t>P5101-50</t>
  </si>
  <si>
    <t>Power Wrench Drive Plate 50 (Aluminum) - Set of 10
- Nut height 50 mm.
- Plate diameter 250 mm.
- Aluminum, electroless nickel plated
- including U-Bolts, nuts and washers</t>
  </si>
  <si>
    <t>P5101-50-10</t>
  </si>
  <si>
    <t>P5200-50</t>
  </si>
  <si>
    <t>AE0005462</t>
  </si>
  <si>
    <t>Power Wrench Filter, Regulator &amp; Lubricator (FRL) unit mounted in a metal basket, including 3.66m/12ft hose, incl. quick connector</t>
  </si>
  <si>
    <t>Power Wrench Storage Box including:
- FRL wall mounted inside the box
- Hose reel with 25m/82ft hose</t>
  </si>
  <si>
    <t>AE0053949</t>
  </si>
  <si>
    <t>Power Wrench Storage Box Wheels (non-antistatic)</t>
  </si>
  <si>
    <t>P2010</t>
  </si>
  <si>
    <t>Power Wrench Storage Box Wheels for use in Hazardous Areas (antistatic)</t>
  </si>
  <si>
    <t>Spare Power Wrench Swivel Connector for Air Hose</t>
  </si>
  <si>
    <t>P5311</t>
  </si>
  <si>
    <t xml:space="preserve">Spare Power Wrench Retention Adaptor Set </t>
  </si>
  <si>
    <t>P5310</t>
  </si>
  <si>
    <t>Spare Power Wrench Hand Guard Set</t>
  </si>
  <si>
    <t>Spare Power Wrench Hose Reel, length 25m (non hazardous areas)</t>
  </si>
  <si>
    <t>AE0021336</t>
  </si>
  <si>
    <t>AE0001722</t>
  </si>
  <si>
    <t>AE0001912</t>
  </si>
  <si>
    <t>AE0001721</t>
  </si>
  <si>
    <t>AE0001826</t>
  </si>
  <si>
    <t>XPW-REPAIR</t>
  </si>
  <si>
    <t>Drive Systems - EasiDrive</t>
  </si>
  <si>
    <t>Power Wrench Drive Plate 50 (Aluminum)
- Nut height 50 mm.
- Plate diameter 250 mm.
- Aluminum, electroless nickel plated
- including U-Bolts, nuts and washers
- Nut height 50 mm.
- Plate diameter 250 mm.
- Aluminum, electroless nickel plated
- including U-Bolts, nuts and washers</t>
  </si>
  <si>
    <t>Power Wrench Drive Plate 50 XL (Carbon Steel)
- Nut Height 50mm.
- Plate Diameter 400mm.
- Coated Carbon Steel
- including U-Bolts, nuts and washers
- Nut height 50 mm.
- Plate diameter 250 mm.
- Aluminum, electroless nickel plated
- including U-Bolts, nuts and washers</t>
  </si>
  <si>
    <t>Power Wrench Storage Box for Use in Hazardous Areas0 including: 
- FRL wall mounted inside the box
- Hose reel with 25m/82ft antistatic hose
- earthing cable and clamp</t>
  </si>
  <si>
    <t>Power Wrench Gear Head Replacement</t>
  </si>
  <si>
    <t>Power Wrench Throttle Replacement</t>
  </si>
  <si>
    <t>Hybrid Lock with 1,5m SS cable</t>
  </si>
  <si>
    <t>Hybrid Lock with 1.5m cable coated with red PVC</t>
  </si>
  <si>
    <t>NL-H-SS-FULL</t>
  </si>
  <si>
    <t>NL-H-SS-PVC</t>
  </si>
  <si>
    <t>Car Seal, 1.5mm x 1m SS cable</t>
  </si>
  <si>
    <t>Car Seal, 5mm x 1m SS cable</t>
  </si>
  <si>
    <t>SFC13800</t>
  </si>
  <si>
    <t>SFC32600</t>
  </si>
  <si>
    <t>ML-480</t>
  </si>
  <si>
    <t>ML-481</t>
  </si>
  <si>
    <t>ML-482</t>
  </si>
  <si>
    <t>ML-483</t>
  </si>
  <si>
    <t>ML-484</t>
  </si>
  <si>
    <t>Handwheel Cover diameter 10" - 14" (red)</t>
  </si>
  <si>
    <t>SOF101138</t>
  </si>
  <si>
    <t>ML-K400</t>
  </si>
  <si>
    <t>NL-95</t>
  </si>
  <si>
    <t>Multi-Padlock to suit 6 padlocks (SS)</t>
  </si>
  <si>
    <t>Padlock Master Key</t>
  </si>
  <si>
    <t>406XXXXX</t>
  </si>
  <si>
    <t>Thermoplastic Safety Padlock - size 38x44mm, height of nylon shackle 38mm, available as 'Keyed Alike' or 'Keyed Different' in different 9 colors</t>
  </si>
  <si>
    <t>Thermoplastic Safety Padlock - size 38x44mm, height of nylon shackle 38mm, available as 'Keyed Alike Master Keyed' or 'Keyed Different Master Keyed' in different 9 colors</t>
  </si>
  <si>
    <t>406XXXXXXX</t>
  </si>
  <si>
    <t>Thermoplastic Safety Padlock - size 38x44mm, height of metal shackle 38mm, available as 'Keyed Alike' or 'Keyed Different' in different 9 colors</t>
  </si>
  <si>
    <t>Thermoplastic Safety Padlock - size 38x44mm, height of metal shackle 38mm, available as 'Keyed Alike Master Keyed' or 'Keyed Different Master Keyed' in different 9 colors</t>
  </si>
  <si>
    <t>410XXXXX</t>
  </si>
  <si>
    <t>410XXXXXXX</t>
  </si>
  <si>
    <t>Thermoplastic Safety Padlock - size 38x44mm, height of metal shackle 76mm, available as 'Keyed Alike' or 'Keyed Different' in different 9 colors</t>
  </si>
  <si>
    <t>Thermoplastic Safety Padlock - size 38x44mm, height of metal shackle 76mm, available as 'Keyed Alike Master Keyed' or 'Keyed Different Master Keyed' in different 9 colors</t>
  </si>
  <si>
    <t>410LTXXXXX</t>
  </si>
  <si>
    <t>410LTXXXXXXX</t>
  </si>
  <si>
    <t>Thermoplastic Safety Padlock - size 35x48mm, height of stainless steel shackle 38mm, available as 'Keyed Alike' or 'Keyed Different' in different 9 colors</t>
  </si>
  <si>
    <t>Thermoplastic Safety Padlock - size 35x48mm, height of stainless steel shackle 38mm, available as 'Keyed Alike Master Keyed' or 'Keyed Different Master Keyed' in different 9 colors</t>
  </si>
  <si>
    <t>S31XXXXX</t>
  </si>
  <si>
    <t>S31XXXXXXX</t>
  </si>
  <si>
    <t>S31LTXXXXX</t>
  </si>
  <si>
    <t>S31LTXXXXXXX</t>
  </si>
  <si>
    <t>Thermoplastic Safety Padlock - size 35x48mm, height of stainless steel shackle 76mm, available as 'Keyed Alike' or 'Keyed Different' in different 9 colors</t>
  </si>
  <si>
    <t>Thermoplastic Safety Padlock - size 35x48mm, height of stainless steel shackle 76mm, available as 'Keyed Alike Master Keyed' or 'Keyed Different Master Keyed' in different 9 colors</t>
  </si>
  <si>
    <t>Lock Out Tag Out - NL-Hybrid Lock</t>
  </si>
  <si>
    <t>Lock Out Tag Out - Padlocks, Multi-Padlocks &amp; Adjustable Cable Lock</t>
  </si>
  <si>
    <t>ACL Adjustable Cable Lockout with 1.8m cable</t>
  </si>
  <si>
    <t>Lock Out Tag Out - Wire Locks &amp; Car Seals</t>
  </si>
  <si>
    <t>Lock Out Tag Out - Handwheel Covers</t>
  </si>
  <si>
    <t>XGL-UPTO2-SS</t>
  </si>
  <si>
    <t>XGL-PLUS10-SS</t>
  </si>
  <si>
    <t>XGL-UPTO8-SS</t>
  </si>
  <si>
    <t xml:space="preserve">SFC GL lock, incl. Stainless Steel Handwheel, To suit valves up to 2 inch  </t>
  </si>
  <si>
    <t>XGL-BODY-SSH</t>
  </si>
  <si>
    <t>XGL-BODY-CSH</t>
  </si>
  <si>
    <t>XGL-UPTO2-CS</t>
  </si>
  <si>
    <t>XGL-UPTO8-CS</t>
  </si>
  <si>
    <t>XGL-PLUS10-CS</t>
  </si>
  <si>
    <t xml:space="preserve">SFC GL lock, incl. Carbon Steel Handwheel, To suit valves up to 2 inch  </t>
  </si>
  <si>
    <t>XGL-ANCHOR</t>
  </si>
  <si>
    <t>XGL-ADAPTOR</t>
  </si>
  <si>
    <t>XGL-MKIT</t>
  </si>
  <si>
    <t>SFC GL Mounting Kit</t>
  </si>
  <si>
    <t>4HWSS</t>
  </si>
  <si>
    <t>HW SS Size 100 for GLS</t>
  </si>
  <si>
    <t>8HWSS</t>
  </si>
  <si>
    <t>10HWSS</t>
  </si>
  <si>
    <t>HW SS Size 250 for GLM, FD</t>
  </si>
  <si>
    <t>HW SS Size 200 for GLS</t>
  </si>
  <si>
    <t>200HWS</t>
  </si>
  <si>
    <t>280HWS</t>
  </si>
  <si>
    <t>380HWS</t>
  </si>
  <si>
    <t>500HWS</t>
  </si>
  <si>
    <t>600HWS</t>
  </si>
  <si>
    <t>700HWS</t>
  </si>
  <si>
    <t>HW CS Size 200 for GLM, FD</t>
  </si>
  <si>
    <t>HW CS Size 280 for GLM, FD</t>
  </si>
  <si>
    <t>HW CS Size 380 for GLM, FD</t>
  </si>
  <si>
    <t>HW CS Size 500 for GLM, FD</t>
  </si>
  <si>
    <t>HW CS Size 600 for GLM, FD</t>
  </si>
  <si>
    <t>HW CS Size 700 for GLM, FD</t>
  </si>
  <si>
    <t>13HWSS</t>
  </si>
  <si>
    <t>HW SS Size 330 for GLM, FD</t>
  </si>
  <si>
    <t>16HWSS</t>
  </si>
  <si>
    <t>HW SS Size 400 for GLM, FD</t>
  </si>
  <si>
    <t>HW SS Size 500 for GLM, FD</t>
  </si>
  <si>
    <t>20HWSS</t>
  </si>
  <si>
    <t>HW SS Size 600 for GLM, FD</t>
  </si>
  <si>
    <t>24HWSS</t>
  </si>
  <si>
    <t>HW SS Size 750 for GLM, FD</t>
  </si>
  <si>
    <t>30HWSS</t>
  </si>
  <si>
    <t>XQL-UPTO2</t>
  </si>
  <si>
    <t>XQL-UPTO4</t>
  </si>
  <si>
    <t>XQL-PLUS6</t>
  </si>
  <si>
    <t>QL Interlock - Valves up to 2 Inch</t>
  </si>
  <si>
    <t>QL Interlock - Valves 6 Inch and above</t>
  </si>
  <si>
    <t>QL Interlock - Valves above 2 up to 4 inch</t>
  </si>
  <si>
    <t>XQL-MKIT</t>
  </si>
  <si>
    <t>XQL-BODY-LEVER</t>
  </si>
  <si>
    <t>XQL-ANCHOR</t>
  </si>
  <si>
    <t>XQL-ADAPTOR</t>
  </si>
  <si>
    <t>XSCU-NOC-3</t>
  </si>
  <si>
    <t>XSCU-NOC-4</t>
  </si>
  <si>
    <t>XSCU-NOC-5</t>
  </si>
  <si>
    <t>XSCU-NOC-6</t>
  </si>
  <si>
    <t>XSCU-NOC-7</t>
  </si>
  <si>
    <t>XSCU-NOC-8</t>
  </si>
  <si>
    <t>XSCU-NOC-9</t>
  </si>
  <si>
    <t>XSCU-NOC-10</t>
  </si>
  <si>
    <t>XSCU-NOC-11</t>
  </si>
  <si>
    <t>XSCU-NOC-12</t>
  </si>
  <si>
    <t>XSCU-NOC-13</t>
  </si>
  <si>
    <t>XSCU-NOC-14</t>
  </si>
  <si>
    <t>XSCU-NOC-15</t>
  </si>
  <si>
    <t>XSCU-NOC-16</t>
  </si>
  <si>
    <t>XSCU-NOC-17</t>
  </si>
  <si>
    <t>XSCU-NOC-18</t>
  </si>
  <si>
    <t>XSCU-NOC-19</t>
  </si>
  <si>
    <t>XSCU-NOC-20</t>
  </si>
  <si>
    <t>XSCU-NOC-21</t>
  </si>
  <si>
    <t>XSCU-NOC-22</t>
  </si>
  <si>
    <t>XSCU-NOC-23</t>
  </si>
  <si>
    <t>XSCU-NOC-24</t>
  </si>
  <si>
    <t>Sequence Control Unit, 3 - No Cabinet</t>
  </si>
  <si>
    <t>Sequence Control Unit, 4 - No Cabinet</t>
  </si>
  <si>
    <t>Sequence Control Unit, 5 - No Cabinet</t>
  </si>
  <si>
    <t>Sequence Control Unit, 6 - No Cabinet</t>
  </si>
  <si>
    <t>Sequence Control Unit, 7 - No Cabinet</t>
  </si>
  <si>
    <t>Sequence Control Unit, 8 - No Cabinet</t>
  </si>
  <si>
    <t>Sequence Control Unit, 9 - No Cabinet</t>
  </si>
  <si>
    <t>Sequence Control Unit, 10 - No Cabinet</t>
  </si>
  <si>
    <t>Sequence Control Unit, 11 - No Cabinet</t>
  </si>
  <si>
    <t>Sequence Control Unit, 12 - No Cabinet</t>
  </si>
  <si>
    <t>Sequence Control Unit, 13 - No Cabinet</t>
  </si>
  <si>
    <t>Sequence Control Unit, 14 - No Cabinet</t>
  </si>
  <si>
    <t>Sequence Control Unit, 15 - No Cabinet</t>
  </si>
  <si>
    <t>Sequence Control Unit, 16 - No Cabinet</t>
  </si>
  <si>
    <t>Sequence Control Unit, 17 - No Cabinet</t>
  </si>
  <si>
    <t>Sequence Control Unit, 18 - No Cabinet</t>
  </si>
  <si>
    <t>Sequence Control Unit, 19 - No Cabinet</t>
  </si>
  <si>
    <t>Sequence Control Unit, 20 - No Cabinet</t>
  </si>
  <si>
    <t>Sequence Control Unit, 21 - No Cabinet</t>
  </si>
  <si>
    <t>Sequence Control Unit, 22 - No Cabinet</t>
  </si>
  <si>
    <t>Sequence Control Unit, 23 - No Cabinet</t>
  </si>
  <si>
    <t>Sequence Control Unit, 24 - No Cabinet</t>
  </si>
  <si>
    <t>Sequence Control Units (Mechanical)</t>
  </si>
  <si>
    <t>XMRL-UPTO2-CS</t>
  </si>
  <si>
    <t>XMRL-UPTO2-SS</t>
  </si>
  <si>
    <t>XMRL-UPTO8-CS</t>
  </si>
  <si>
    <t>XMRL-UPTO8-SS</t>
  </si>
  <si>
    <t>XMRL-PLUS10-CS</t>
  </si>
  <si>
    <t>XMRL-PLUS10-SS</t>
  </si>
  <si>
    <t>XMRL-BODY-CSW</t>
  </si>
  <si>
    <t>XMRL-BODY-SSH</t>
  </si>
  <si>
    <t>XMRL-MKIT</t>
  </si>
  <si>
    <t>QL Anchor and Adaptor set only</t>
  </si>
  <si>
    <t>XMRL-ANCHOR</t>
  </si>
  <si>
    <t>XMRL-ADAPTOR</t>
  </si>
  <si>
    <t>Handwheels: Carbon Steel</t>
  </si>
  <si>
    <t>Handwheels: Stainless Steel</t>
  </si>
  <si>
    <t>SFC GL lock, incl. Stainless Steel Handwheel, To suit valves up to 8 Inches</t>
  </si>
  <si>
    <t>SFC GL lock, incl. Stainless Steel Handwheel, To suit valves 10 inch &amp; above</t>
  </si>
  <si>
    <t>SFC GL lock, incl. Carbon Steel Handwheel, To suit valves up to 8 Inches</t>
  </si>
  <si>
    <t>SFC GL lock, incl. Carbon Steel Handwheel, To suit valves 10 inch &amp; above</t>
  </si>
  <si>
    <t>SFC GL Body only with Stainless Steel Handwheel</t>
  </si>
  <si>
    <t>SFC GL Body only with Carbon Steel Handwheel</t>
  </si>
  <si>
    <t>NL Multi-Rotational lock, incl. Carbon Steel Handwheel, To suit valves up to 2 inch</t>
  </si>
  <si>
    <t>NL Multi-Rotational lock, incl. Stainless Steel Handwheel, To suit valves up to 2 inch</t>
  </si>
  <si>
    <t>NL Multi-Rotational lock, incl. Stainless Steel Handwheel, To suit valves above 2 up to 8 Inches</t>
  </si>
  <si>
    <t>NL Multi-Rotational lock, incl. Carbon Steel Handwheel, To suit valves 10 inch and above</t>
  </si>
  <si>
    <t>NL Multi-Rotational lock, incl. Stainless Steel Handwheel, To suit valves 10 inch and above</t>
  </si>
  <si>
    <t>NL Multi-Rotational lock, incl. Carbon Steel Handwheel (Excluding Anchor &amp; Adaptor)</t>
  </si>
  <si>
    <t>NL Multi-Rotational lock, incl. Stainless Steel Handwheel (Excluding Anchor &amp; Adaptor)</t>
  </si>
  <si>
    <t>HW CS Size 200 for  MRL-S, VPI-S</t>
  </si>
  <si>
    <t>HW CS Size 250 for  MRL-L, VPI-L</t>
  </si>
  <si>
    <t>HW CS Size 280 for  MRL-S, VPI-S</t>
  </si>
  <si>
    <t>HW CS Size 380 for  MRL-L, VPI-L</t>
  </si>
  <si>
    <t>HW CS Size 500 for  MRL-L, VPI-L</t>
  </si>
  <si>
    <t>HW CS Size 600 for  MRL-S, VPI-S</t>
  </si>
  <si>
    <t>HW CS Size 700 for  MRL-S, VPI-S</t>
  </si>
  <si>
    <t>HW CS Size 380 for  MRL-S, VPI-S</t>
  </si>
  <si>
    <t>HW CS Size 500 for  MRL-S, VPI-S</t>
  </si>
  <si>
    <t>HW200-S-C</t>
  </si>
  <si>
    <t>HW250-L-C</t>
  </si>
  <si>
    <t>HW280-S-C</t>
  </si>
  <si>
    <t>HW380-S-C</t>
  </si>
  <si>
    <t>HW380-L-C</t>
  </si>
  <si>
    <t>HW500-L-C</t>
  </si>
  <si>
    <t>HW500-S-C</t>
  </si>
  <si>
    <t>HW600-S-C</t>
  </si>
  <si>
    <t>HW700-S-C</t>
  </si>
  <si>
    <t>HW SS Size 100 for  MRL-S, VPI-S</t>
  </si>
  <si>
    <t>HW100-S-S</t>
  </si>
  <si>
    <t>HW SS Size 200 for  MRL-S, VPI-S</t>
  </si>
  <si>
    <t>HW200-S-S</t>
  </si>
  <si>
    <t>HW280-S-S</t>
  </si>
  <si>
    <t>HW SS Size 280 for  MRL-S, VPI-S</t>
  </si>
  <si>
    <t>HW380-S-S</t>
  </si>
  <si>
    <t>HW SS Size 380 for  MRL-S, VPI-S</t>
  </si>
  <si>
    <t>HW380-L-S</t>
  </si>
  <si>
    <t>HW SS Size 380 for  MRL-L, VPI-L</t>
  </si>
  <si>
    <t>HW500-S-S</t>
  </si>
  <si>
    <t>HW SS Size 500 for  MRL-S, VPI-S</t>
  </si>
  <si>
    <t>HW500-L-S</t>
  </si>
  <si>
    <t>HW SS Size 500 for  MRL-L, VPI-L</t>
  </si>
  <si>
    <t>HW600-S-S</t>
  </si>
  <si>
    <t>HW SS Size 600 for  MRL-S, VPI-S</t>
  </si>
  <si>
    <t>HW700-S-S</t>
  </si>
  <si>
    <t>HW SS Size 700 for  MRL-S, VPI-S</t>
  </si>
  <si>
    <t>HW700-L-S</t>
  </si>
  <si>
    <t>HW SS Size 700 for  MRL-L, VPI-L</t>
  </si>
  <si>
    <t>XNDL-UPTO2</t>
  </si>
  <si>
    <t>XNDL-UPTO4</t>
  </si>
  <si>
    <t>XNDL-PLUS6</t>
  </si>
  <si>
    <t>NL Ninety Degree Lever lock, To suit valves up to 2 inch</t>
  </si>
  <si>
    <t>NL Ninety Degree Lever lock, To suit valves above 2 up to 4 inch</t>
  </si>
  <si>
    <t>NL Ninety Degree Lever lock, To suit valves 6 inch and above</t>
  </si>
  <si>
    <t>XNDL-BODY-LEVER</t>
  </si>
  <si>
    <t>XNDL-MKIT</t>
  </si>
  <si>
    <t>XNDL-ADAPTOR</t>
  </si>
  <si>
    <t>XNDL-ANCHOR</t>
  </si>
  <si>
    <t>LEV230-S</t>
  </si>
  <si>
    <t>LEV330-S</t>
  </si>
  <si>
    <t>LEV430-S</t>
  </si>
  <si>
    <t>LEV530-S</t>
  </si>
  <si>
    <t>LEV630-S</t>
  </si>
  <si>
    <t>LEV730-S</t>
  </si>
  <si>
    <t>Levers: Stainless Steel</t>
  </si>
  <si>
    <t>LEV SS Size 230 for NDL</t>
  </si>
  <si>
    <t>LEV SS Size 330 for NDL</t>
  </si>
  <si>
    <t>LEV SS Size 430 for NDL</t>
  </si>
  <si>
    <t>LEV SS Size 530 for NDL</t>
  </si>
  <si>
    <t>LEV SS Size 630 for NDL</t>
  </si>
  <si>
    <t>LEV SS Size 730 for NDL</t>
  </si>
  <si>
    <t>XEKC</t>
  </si>
  <si>
    <t>Electrical Key Cabinet</t>
  </si>
  <si>
    <t>XKMS</t>
  </si>
  <si>
    <t>Keys (NL)</t>
  </si>
  <si>
    <t>Mechanical Process Control Units</t>
  </si>
  <si>
    <t>XMPCU-NOC-3</t>
  </si>
  <si>
    <t>XMPCU-NOC-4</t>
  </si>
  <si>
    <t>XMPCU-NOC-5</t>
  </si>
  <si>
    <t>XMPCU-NOC-6</t>
  </si>
  <si>
    <t>XMPCU-NOC-7</t>
  </si>
  <si>
    <t>XMPCU-NOC-8</t>
  </si>
  <si>
    <t>XMPCU-NOC-9</t>
  </si>
  <si>
    <t>XMPCU-NOC-10</t>
  </si>
  <si>
    <t>XMPCU-NOC-11</t>
  </si>
  <si>
    <t>XMPCU-NOC-12</t>
  </si>
  <si>
    <t>Mechanical Process Control Unit - No Cabinet - 3 Layers</t>
  </si>
  <si>
    <t>Mechanical Process Control Unit - No Cabinet - 4 Layers</t>
  </si>
  <si>
    <t>Mechanical Process Control Unit - No Cabinet - 5 Layers</t>
  </si>
  <si>
    <t>Mechanical Process Control Unit - No Cabinet - 6 Layers</t>
  </si>
  <si>
    <t>Mechanical Process Control Unit - No Cabinet - 7 Layers</t>
  </si>
  <si>
    <t>Mechanical Process Control Unit - No Cabinet - 8 Layers</t>
  </si>
  <si>
    <t>Mechanical Process Control Unit - No Cabinet - 9 Layers</t>
  </si>
  <si>
    <t>Mechanical Process Control Unit - No Cabinet - 10 Layers</t>
  </si>
  <si>
    <t>Mechanical Process Control Unit - No Cabinet - 11 Layers</t>
  </si>
  <si>
    <t>Mechanical Process Control Unit - No Cabinet - 12 Layers</t>
  </si>
  <si>
    <t>Mechanical Process Control Unit - 3 Layers - CS Cabinet</t>
  </si>
  <si>
    <t>Mechanical Process Control Unit - 4 Layers - CS Cabinet</t>
  </si>
  <si>
    <t>Mechanical Process Control Unit - 5 Layers - CS Cabinet</t>
  </si>
  <si>
    <t>Mechanical Process Control Unit - 6 Layers - CS Cabinet</t>
  </si>
  <si>
    <t>Mechanical Process Control Unit - 7 Layers - CS Cabinet</t>
  </si>
  <si>
    <t>Mechanical Process Control Unit - 8 Layers - CS Cabinet</t>
  </si>
  <si>
    <t>Mechanical Process Control Unit - 9 Layers - CS Cabinet</t>
  </si>
  <si>
    <t>Mechanical Process Control Unit - 10 Layers - CS Cabinet</t>
  </si>
  <si>
    <t>Mechanical Process Control Unit - 11 Layers - CS Cabinet</t>
  </si>
  <si>
    <t>Mechanical Process Control Unit - 12 Layers - CS Cabinet</t>
  </si>
  <si>
    <t>XMPCU-CSC-3</t>
  </si>
  <si>
    <t>XMPCU-CSC-4</t>
  </si>
  <si>
    <t>XMPCU-CSC-5</t>
  </si>
  <si>
    <t>XMPCU-CSC-6</t>
  </si>
  <si>
    <t>XMPCU-CSC-7</t>
  </si>
  <si>
    <t>XMPCU-CSC-8</t>
  </si>
  <si>
    <t>XMPCU-CSC-9</t>
  </si>
  <si>
    <t>XMPCU-CSC-10</t>
  </si>
  <si>
    <t>XMPCU-CSC-11</t>
  </si>
  <si>
    <t>XMPCU-CSC-12</t>
  </si>
  <si>
    <t>XMPCU-SSC-3</t>
  </si>
  <si>
    <t>XMPCU-SSC-4</t>
  </si>
  <si>
    <t>XMPCU-SSC-5</t>
  </si>
  <si>
    <t>XMPCU-SSC-6</t>
  </si>
  <si>
    <t>XMPCU-SSC-7</t>
  </si>
  <si>
    <t>XMPCU-SSC-8</t>
  </si>
  <si>
    <t>XMPCU-SSC-9</t>
  </si>
  <si>
    <t>XMPCU-SSC-10</t>
  </si>
  <si>
    <t>XMPCU-SSC-11</t>
  </si>
  <si>
    <t>XMPCU-SSC-12</t>
  </si>
  <si>
    <t>XNKEU-3</t>
  </si>
  <si>
    <t>XNKEU-4</t>
  </si>
  <si>
    <t>XNKEU-5</t>
  </si>
  <si>
    <t>XNKEU-6</t>
  </si>
  <si>
    <t>XNKEU-7</t>
  </si>
  <si>
    <t>XNKEU-8</t>
  </si>
  <si>
    <t>XNKEU-9</t>
  </si>
  <si>
    <t>XNKEU-10</t>
  </si>
  <si>
    <t>XNKEU-11</t>
  </si>
  <si>
    <t>XNKEU-12</t>
  </si>
  <si>
    <t>NL Key Exchange Unit - 3 Layers</t>
  </si>
  <si>
    <t>NL Key Exchange Unit - 4 Layers</t>
  </si>
  <si>
    <t>NL Key Exchange Unit - 5 Layers</t>
  </si>
  <si>
    <t>NL Key Exchange Unit - 6 Layers</t>
  </si>
  <si>
    <t>NL Key Exchange Unit - 7 Layers</t>
  </si>
  <si>
    <t>NL Key Exchange Unit - 8 Layers</t>
  </si>
  <si>
    <t>NL Key Exchange Unit - 9 Layers</t>
  </si>
  <si>
    <t>NL Key Exchange Unit - 10 Layers</t>
  </si>
  <si>
    <t>NL Key Exchange Unit - 11 Layers</t>
  </si>
  <si>
    <t>NL Key Exchange Unit - 12 Layers</t>
  </si>
  <si>
    <t>XCL-1</t>
  </si>
  <si>
    <t>XCL-2</t>
  </si>
  <si>
    <t>XCL-MOUNTING KIT</t>
  </si>
  <si>
    <t>Mounting kit for closure lock</t>
  </si>
  <si>
    <t>XSCU-CSC-3</t>
  </si>
  <si>
    <t>XSCU-CSC-4</t>
  </si>
  <si>
    <t>XSCU-CSC-5</t>
  </si>
  <si>
    <t>XSCU-CSC-6</t>
  </si>
  <si>
    <t>XSCU-CSC-7</t>
  </si>
  <si>
    <t>XSCU-CSC-8</t>
  </si>
  <si>
    <t>XSCU-CSC-9</t>
  </si>
  <si>
    <t>XSCU-CSC-10</t>
  </si>
  <si>
    <t>XSCU-CSC-11</t>
  </si>
  <si>
    <t>XSCU-CSC-12</t>
  </si>
  <si>
    <t>XSCU-CSC-13</t>
  </si>
  <si>
    <t>XSCU-CSC-14</t>
  </si>
  <si>
    <t>XSCU-CSC-15</t>
  </si>
  <si>
    <t>XSCU-CSC-16</t>
  </si>
  <si>
    <t>XSCU-CSC-17</t>
  </si>
  <si>
    <t>XSCU-CSC-18</t>
  </si>
  <si>
    <t>XSCU-CSC-19</t>
  </si>
  <si>
    <t>XSCU-CSC-20</t>
  </si>
  <si>
    <t>XSCU-CSC-21</t>
  </si>
  <si>
    <t>XSCU-CSC-22</t>
  </si>
  <si>
    <t>XSCU-CSC-23</t>
  </si>
  <si>
    <t>XSCU-CSC-24</t>
  </si>
  <si>
    <t>XSCU-SSC-3</t>
  </si>
  <si>
    <t>XSCU-SSC-4</t>
  </si>
  <si>
    <t>XSCU-SSC-5</t>
  </si>
  <si>
    <t>XSCU-SSC-6</t>
  </si>
  <si>
    <t>XSCU-SSC-7</t>
  </si>
  <si>
    <t>XSCU-SSC-8</t>
  </si>
  <si>
    <t>XSCU-SSC-9</t>
  </si>
  <si>
    <t>XSCU-SSC-10</t>
  </si>
  <si>
    <t>XSCU-SSC-11</t>
  </si>
  <si>
    <t>XSCU-SSC-12</t>
  </si>
  <si>
    <t>XSCU-SSC-13</t>
  </si>
  <si>
    <t>XSCU-SSC-14</t>
  </si>
  <si>
    <t>XSCU-SSC-15</t>
  </si>
  <si>
    <t>XSCU-SSC-16</t>
  </si>
  <si>
    <t>XSCU-SSC-17</t>
  </si>
  <si>
    <t>XSCU-SSC-18</t>
  </si>
  <si>
    <t>XSCU-SSC-19</t>
  </si>
  <si>
    <t>XSCU-SSC-20</t>
  </si>
  <si>
    <t>XSCU-SSC-21</t>
  </si>
  <si>
    <t>XSCU-SSC-22</t>
  </si>
  <si>
    <t>XSCU-SSC-23</t>
  </si>
  <si>
    <t>XSCU-SSC-24</t>
  </si>
  <si>
    <t>Sequence Control Unit - 3 Keys - Stainless Steel Cabinet</t>
  </si>
  <si>
    <t>Sequence Control Unit - 4 Keys - Stainless Steel Cabinet</t>
  </si>
  <si>
    <t>Sequence Control Unit - 5 Keys - Stainless Steel Cabinet</t>
  </si>
  <si>
    <t>Sequence Control Unit - 6 Keys - Stainless Steel Cabinet</t>
  </si>
  <si>
    <t>Sequence Control Unit - 7 Keys - Stainless Steel Cabinet</t>
  </si>
  <si>
    <t>Sequence Control Unit - 8 Keys - Stainless Steel Cabinet</t>
  </si>
  <si>
    <t>Sequence Control Unit - 9 Keys - Stainless Steel Cabinet</t>
  </si>
  <si>
    <t>Sequence Control Unit - 10 Keys - Stainless Steel Cabinet</t>
  </si>
  <si>
    <t>Sequence Control Unit - 11 Keys - Stainless Steel Cabinet</t>
  </si>
  <si>
    <t>Sequence Control Unit - 12 Keys - Stainless Steel Cabinet</t>
  </si>
  <si>
    <t>Sequence Control Unit - 13 Keys - Stainless Steel Cabinet</t>
  </si>
  <si>
    <t>Sequence Control Unit - 14 Keys - Stainless Steel Cabinet</t>
  </si>
  <si>
    <t>Sequence Control Unit - 15 Keys - Stainless Steel Cabinet</t>
  </si>
  <si>
    <t>Sequence Control Unit - 16 Keys - Stainless Steel Cabinet</t>
  </si>
  <si>
    <t>Sequence Control Unit - 17 Keys - Stainless Steel Cabinet</t>
  </si>
  <si>
    <t>Sequence Control Unit - 18 Keys - Stainless Steel Cabinet</t>
  </si>
  <si>
    <t>Sequence Control Unit - 19 Keys - Stainless Steel Cabinet</t>
  </si>
  <si>
    <t>Sequence Control Unit - 20 Keys - Stainless Steel Cabinet</t>
  </si>
  <si>
    <t>Sequence Control Unit - 21 Keys - Stainless Steel Cabinet</t>
  </si>
  <si>
    <t>Sequence Control Unit - 22 Keys - Stainless Steel Cabinet</t>
  </si>
  <si>
    <t>Sequence Control Unit - 23 Keys - Stainless Steel Cabinet</t>
  </si>
  <si>
    <t>Sequence Control Unit - 24 Keys - Stainless Steel Cabinet</t>
  </si>
  <si>
    <t>Sequence Control Unit - 3 Keys - Carbon Steel Cabinet</t>
  </si>
  <si>
    <t>Sequence Control Unit - 4 Keys - Carbon Steel Cabinet</t>
  </si>
  <si>
    <t>Sequence Control Unit - 5 Keys - Carbon Steel Cabinet</t>
  </si>
  <si>
    <t>Sequence Control Unit - 6 Keys - Carbon Steel Cabinet</t>
  </si>
  <si>
    <t>Sequence Control Unit - 7 Keys - Carbon Steel Cabinet</t>
  </si>
  <si>
    <t>Sequence Control Unit - 8 Keys - Carbon Steel Cabinet</t>
  </si>
  <si>
    <t>Sequence Control Unit - 9 Keys - Carbon Steel Cabinet</t>
  </si>
  <si>
    <t>Sequence Control Unit - 10 Keys - Carbon Steel Cabinet</t>
  </si>
  <si>
    <t>Sequence Control Unit - 11 Keys - Carbon Steel Cabinet</t>
  </si>
  <si>
    <t>Sequence Control Unit - 12 Keys - Carbon Steel Cabinet</t>
  </si>
  <si>
    <t>Sequence Control Unit - 13 Keys - Carbon Steel Cabinet</t>
  </si>
  <si>
    <t>Sequence Control Unit - 14 Keys - Carbon Steel Cabinet</t>
  </si>
  <si>
    <t>Sequence Control Unit - 15 Keys - Carbon Steel Cabinet</t>
  </si>
  <si>
    <t>Sequence Control Unit - 16 Keys - Carbon Steel Cabinet</t>
  </si>
  <si>
    <t>Sequence Control Unit - 17 Keys - Carbon Steel Cabinet</t>
  </si>
  <si>
    <t>Sequence Control Unit - 18 Keys - Carbon Steel Cabinet</t>
  </si>
  <si>
    <t>Sequence Control Unit - 19 Keys - Carbon Steel Cabinet</t>
  </si>
  <si>
    <t>Sequence Control Unit - 20 Keys - Carbon Steel Cabinet</t>
  </si>
  <si>
    <t>Sequence Control Unit - 21 Keys - Carbon Steel Cabinet</t>
  </si>
  <si>
    <t>Sequence Control Unit - 22 Keys - Carbon Steel Cabinet</t>
  </si>
  <si>
    <t>Sequence Control Unit - 23 Keys - Carbon Steel Cabinet</t>
  </si>
  <si>
    <t>Sequence Control Unit - 24 Keys - Carbon Steel Cabinet</t>
  </si>
  <si>
    <t>QLA03100</t>
  </si>
  <si>
    <t>QLB03100</t>
  </si>
  <si>
    <t>QLC03100</t>
  </si>
  <si>
    <t>XHLSTER-TAG</t>
  </si>
  <si>
    <t>XSFC-PNKCAB-MOD</t>
  </si>
  <si>
    <t>XSFC-PNKTAG</t>
  </si>
  <si>
    <t>XSFC-FRONT-TAG-SET</t>
  </si>
  <si>
    <t>Frontal tags (Plastic) for SFC range of interlocks</t>
  </si>
  <si>
    <t>XNSTEM-M</t>
  </si>
  <si>
    <t>XSSTEM-M</t>
  </si>
  <si>
    <t>XMIMIC-CUSTOM</t>
  </si>
  <si>
    <t>XMIMIC-SOFIS</t>
  </si>
  <si>
    <t>Cabinet for Storing Master Key(s), including Master Key</t>
  </si>
  <si>
    <t>XNLMASTERCAB</t>
  </si>
  <si>
    <t>MRL-SERVICE-CASE</t>
  </si>
  <si>
    <t>Netherlocks Service Case For MRL</t>
  </si>
  <si>
    <t>XCKC-BLOCK</t>
  </si>
  <si>
    <t>XCKC-8-CS</t>
  </si>
  <si>
    <t>XCKC-12-CS</t>
  </si>
  <si>
    <t>XCKC-18-CS</t>
  </si>
  <si>
    <t>XCKC-32-CS</t>
  </si>
  <si>
    <t>XCKC-50-CS</t>
  </si>
  <si>
    <t>XCKC-72-CS</t>
  </si>
  <si>
    <t>XCKC-112-CS</t>
  </si>
  <si>
    <t>XCKC-165-CS</t>
  </si>
  <si>
    <t>XCKC-198-CS</t>
  </si>
  <si>
    <t>XCKC-252-CS</t>
  </si>
  <si>
    <t>XCKC-8-SS</t>
  </si>
  <si>
    <t>XCKC-12-SS</t>
  </si>
  <si>
    <t>XCKC-18-SS</t>
  </si>
  <si>
    <t>XCKC-32-SS</t>
  </si>
  <si>
    <t>XCKC-50-SS</t>
  </si>
  <si>
    <t>XCKC-72-SS</t>
  </si>
  <si>
    <t>XCKC-112-SS</t>
  </si>
  <si>
    <t>XCKC-165-SS</t>
  </si>
  <si>
    <t>XATL-UPTO2-HW</t>
  </si>
  <si>
    <t>XATL-UPTO2-LEV</t>
  </si>
  <si>
    <t>XATL-PLUS2-HW</t>
  </si>
  <si>
    <t>XATL-PLUS2-LEV</t>
  </si>
  <si>
    <t>XATL-MKIT</t>
  </si>
  <si>
    <t>SFC Anti Tamper Lock for HW Valves above 2 inch</t>
  </si>
  <si>
    <t>SFC Anti Tamper Lock for Lever Valves above 2 inch</t>
  </si>
  <si>
    <t>SFC Anti Tamper Lock for HW Valves 2 inch and below</t>
  </si>
  <si>
    <t>SFC Anti Tamper Lock for Lever Valves 2 inch and below</t>
  </si>
  <si>
    <t>10HWE4</t>
  </si>
  <si>
    <t>13HWE4</t>
  </si>
  <si>
    <t>16HWE4</t>
  </si>
  <si>
    <t>20HWE6</t>
  </si>
  <si>
    <t>XDL3-MKIT</t>
  </si>
  <si>
    <t>XDL3-BAR-ASSEMBLY</t>
  </si>
  <si>
    <t>XDL3-PF-SWITCH</t>
  </si>
  <si>
    <t>Compact Key Cabinet: Carbon Steel</t>
  </si>
  <si>
    <t>Compact Key Cabinet: Stainless Steel</t>
  </si>
  <si>
    <t>XHOLCAB-12-CS</t>
  </si>
  <si>
    <t>XHOLCAB-18-CS</t>
  </si>
  <si>
    <t>XHOLCAB-28-CS</t>
  </si>
  <si>
    <t>XHOLCAB-36-CS</t>
  </si>
  <si>
    <t>XHOLCAB-4-CS</t>
  </si>
  <si>
    <t>XHOLCAB-42-CS</t>
  </si>
  <si>
    <t>XHOLCAB-63-CS</t>
  </si>
  <si>
    <t>XHOLCAB-66-CS</t>
  </si>
  <si>
    <t>XHOLCAB-99-CS</t>
  </si>
  <si>
    <t>XHOLCAB-135-CS</t>
  </si>
  <si>
    <t>XHOLCAB-165-CS</t>
  </si>
  <si>
    <t>XHOLCAB-227-CS</t>
  </si>
  <si>
    <t>XHOLCAB-260-CS</t>
  </si>
  <si>
    <t>XHOLCAB-388-CS</t>
  </si>
  <si>
    <t>XHOLCAB-404-CS</t>
  </si>
  <si>
    <t>Holster Cabinets: Carbon Steel</t>
  </si>
  <si>
    <t>Holster Cabinets: Stainless Steel</t>
  </si>
  <si>
    <t>XHOLCAB-4-SS</t>
  </si>
  <si>
    <t>XHOLCAB-12-SS</t>
  </si>
  <si>
    <t>XHOLCAB-18-SS</t>
  </si>
  <si>
    <t>XHOLCAB-28-SS</t>
  </si>
  <si>
    <t>XHOLCAB-36-SS</t>
  </si>
  <si>
    <t>XHOLCAB-42-SS</t>
  </si>
  <si>
    <t>XHOLCAB-63-SS</t>
  </si>
  <si>
    <t>XHOLCAB-66-SS</t>
  </si>
  <si>
    <t>XHOLCAB-99-SS</t>
  </si>
  <si>
    <t>XHOLCAB-135-SS</t>
  </si>
  <si>
    <t>XHOLCAB-165-SS</t>
  </si>
  <si>
    <t>XHOLCAB-227-SS</t>
  </si>
  <si>
    <t>XHOLCAB-260-SS</t>
  </si>
  <si>
    <t>XHOLCAB-388-SS</t>
  </si>
  <si>
    <t>XHOLCAB-404-SS</t>
  </si>
  <si>
    <t>Holster style cabinet up to 4 positions, 300X300X150mm, carbon steel</t>
  </si>
  <si>
    <t>Holster style cabinet up to 12 positions, 400X300X150mm, carbon steel</t>
  </si>
  <si>
    <t>Holster style cabinet up to 18 positions, 400X400X200mm, carbon steel</t>
  </si>
  <si>
    <t>Holster style cabinet up to 28 positions, 500X400X200mm, carbon steel</t>
  </si>
  <si>
    <t>Holster style cabinet up to 36 positions, 500X500X200mm, carbon steel</t>
  </si>
  <si>
    <t>Holster style cabinet up to 42 positions, 600X400X200mm, carbon steel</t>
  </si>
  <si>
    <t>Holster style cabinet up to 63 positions, 700X500X250mm, carbon steel</t>
  </si>
  <si>
    <t>Holster style cabinet up to 66 positions, 600X600X200mm, carbon steel</t>
  </si>
  <si>
    <t>Holster style cabinet up to 99 positions, 800X600X250mm, carbon steel</t>
  </si>
  <si>
    <t>Holster style cabinet up to 135 positions, 800X800X250mm, carbon steel</t>
  </si>
  <si>
    <t>Holster style cabinet up to 165 positions, 1000X800X350mm, carbon steel</t>
  </si>
  <si>
    <t>Holster style cabinet up to 260 positions, 1000X1000X300mm, carbon steel</t>
  </si>
  <si>
    <t>Holster style cabinet up to 4 positions, 300X300X150mm, 316 stainless steel</t>
  </si>
  <si>
    <t>Holster style cabinet up to 12 positions, 400X300X150mm, 316 stainless steel</t>
  </si>
  <si>
    <t>Holster style cabinet up to 18 positions, 400X400X200mm, 316 stainless steel</t>
  </si>
  <si>
    <t>Holster style cabinet up to 28 positions, 500X400X200mm, 316 stainless steel</t>
  </si>
  <si>
    <t>Holster style cabinet up to 36 positions, 500X500X200mm, 316 stainless steel</t>
  </si>
  <si>
    <t>Holster style cabinet up to 42 positions, 600X400X200mm, 316 stainless steel</t>
  </si>
  <si>
    <t>Holster style cabinet up to 63 positions, 700X500X250mm, 316 stainless steel</t>
  </si>
  <si>
    <t>Holster style cabinet up to 66 positions, 600X600X200mm, 316 stainless steel</t>
  </si>
  <si>
    <t>Holster style cabinet up to 99 positions, 800X600X250mm, 316 stainless steel</t>
  </si>
  <si>
    <t>Holster style cabinet up to 135 positions, 800X800X250mm, 316 stainless steel</t>
  </si>
  <si>
    <t>Holster style cabinet up to 165 positions, 1000X800X350mm, 316 stainless steel</t>
  </si>
  <si>
    <t>Holster style cabinet up to 260 positions, 1000X1000X300mm, 316 stainless steel</t>
  </si>
  <si>
    <t>XSFC-ALS-SWITCH</t>
  </si>
  <si>
    <t>XSFC-ALS-OVERRIDE</t>
  </si>
  <si>
    <t>XSFC-ALS-CHECKER-GV</t>
  </si>
  <si>
    <t>XSFC-ALS-CHECKER-QT</t>
  </si>
  <si>
    <t>Actuated Key Exchange Interlock to Suit Actuated Rising Stem Valve</t>
  </si>
  <si>
    <t>Actuated Key Exchange Interlock to Suit Actuated Ball Valve</t>
  </si>
  <si>
    <t>Interlock for the switch unit of an actuated valve</t>
  </si>
  <si>
    <t>XNL-ALS-CHECKER-QT</t>
  </si>
  <si>
    <t>XNL-ALS-CHECKER-GV</t>
  </si>
  <si>
    <t>XNL-ALS-OVERRIDE</t>
  </si>
  <si>
    <t>XNL-ALS-SWITCH</t>
  </si>
  <si>
    <t>Horizontal Pincoded Cabinets: Carbon Steel</t>
  </si>
  <si>
    <t>XHPKCAB-45-CS</t>
  </si>
  <si>
    <t>XHPKCAB-35-CS</t>
  </si>
  <si>
    <t>XHPKCAB-55-CS</t>
  </si>
  <si>
    <t>XHPKCAB-72-CS</t>
  </si>
  <si>
    <t>XHPKCAB-88-CS</t>
  </si>
  <si>
    <t>XHPKCAB-128-CS</t>
  </si>
  <si>
    <t>XHPKCAB-176-CS</t>
  </si>
  <si>
    <t>XHPKCAB-231-CS</t>
  </si>
  <si>
    <t>XHPKCAB-280-CS</t>
  </si>
  <si>
    <t>SFC horizontal pincoded cabinet in carbon steel upto 45 positions</t>
  </si>
  <si>
    <t>SFC horizontal pincoded cabinet in carbon steel upto 35 positions</t>
  </si>
  <si>
    <t>SFC horizontal pincoded cabinet in carbon steel upto 55 positions</t>
  </si>
  <si>
    <t>SFC horizontal pincoded cabinet in carbon steel upto 72 positions</t>
  </si>
  <si>
    <t>SFC horizontal pincoded cabinet in carbon steel upto 88 positions</t>
  </si>
  <si>
    <t>SFC horizontal pincoded cabinet in carbon steel upto 128 positions</t>
  </si>
  <si>
    <t>SFC horizontal pincoded cabinet in carbon steel upto 176 positions</t>
  </si>
  <si>
    <t>SFC horizontal pincoded cabinet in carbon steel upto 231 positions</t>
  </si>
  <si>
    <t>SFC horizontal pincoded cabinet in carbon steel upto 280 positions</t>
  </si>
  <si>
    <t>Horizontal Pincoded Cabinets: Stainless Steel</t>
  </si>
  <si>
    <t>XHPKCAB-35-SS</t>
  </si>
  <si>
    <t>XHPKCAB-45-SS</t>
  </si>
  <si>
    <t>XHPKCAB-55-SS</t>
  </si>
  <si>
    <t>XHPKCAB-72-SS</t>
  </si>
  <si>
    <t>XHPKCAB-88-SS</t>
  </si>
  <si>
    <t>XHPKCAB-128-SS</t>
  </si>
  <si>
    <t>XHPKCAB-176-SS</t>
  </si>
  <si>
    <t>XHPKCAB-231-SS</t>
  </si>
  <si>
    <t>XHPKCAB-280-SS</t>
  </si>
  <si>
    <t>SFC horizontal pincoded cabinet in stainless steel upto 35 positions</t>
  </si>
  <si>
    <t>SFC horizontal pincoded cabinet in stainless steel upto 45 positions</t>
  </si>
  <si>
    <t>SFC horizontal pincoded cabinet in stainless steel upto 55 positions</t>
  </si>
  <si>
    <t>SFC horizontal pincoded cabinet in stainless steel upto 72 positions</t>
  </si>
  <si>
    <t>SFC horizontal pincoded cabinet in stainless steel upto 88 positions</t>
  </si>
  <si>
    <t>SFC horizontal pincoded cabinet in stainless steel upto 128 positions</t>
  </si>
  <si>
    <t>SFC horizontal pincoded cabinet in stainless steel upto 176 positions</t>
  </si>
  <si>
    <t>SFC horizontal pincoded cabinet in stainless steel upto 231 positions</t>
  </si>
  <si>
    <t>SFC horizontal pincoded cabinet in stainless steel upto 280 positions</t>
  </si>
  <si>
    <t>Dual Key kiosk Lock</t>
  </si>
  <si>
    <t>SFC Spare Operating Key</t>
  </si>
  <si>
    <t>XSFCMASTERSETINCAB</t>
  </si>
  <si>
    <t>SFC set of 8 master keys in a cabinet</t>
  </si>
  <si>
    <t>MOV Mechanical Interlocks (SFC)</t>
  </si>
  <si>
    <t>MOV Mechanical interlocks (NL)</t>
  </si>
  <si>
    <t>Sequence Control Units: No Cabinet</t>
  </si>
  <si>
    <t>Sequence Control Units in Carbon Steel Cabinet</t>
  </si>
  <si>
    <t>Sequence Control Units in Stainless Steel Cabinet</t>
  </si>
  <si>
    <t>Key Exchange Units (Mechanical)</t>
  </si>
  <si>
    <t>Key Selector Units (Mechanical)</t>
  </si>
  <si>
    <t>XEPCU</t>
  </si>
  <si>
    <t>Electrical Process Control Unit</t>
  </si>
  <si>
    <t>Mechanical Process Control Unit in a Carbon Steel cabinet</t>
  </si>
  <si>
    <t>Mechanical Process Control Unit in a Stainless Steel cabinet</t>
  </si>
  <si>
    <t>Mechanical Process Control Unit - No cabinet</t>
  </si>
  <si>
    <t>QL Solenoid/Switch Lock (FOB mounted, EExd Zone 1 enclosure)</t>
  </si>
  <si>
    <t>XQLSWSEX</t>
  </si>
  <si>
    <t>LEVA</t>
  </si>
  <si>
    <t>LEVB</t>
  </si>
  <si>
    <t>Stainless steel lever size 250 for QLT</t>
  </si>
  <si>
    <t>Stainless steel lever size 385 for QLR</t>
  </si>
  <si>
    <t>LEVR</t>
  </si>
  <si>
    <t>Carbon steel lever size 600 for QLR</t>
  </si>
  <si>
    <t>Levers:</t>
  </si>
  <si>
    <t>SFC75100</t>
  </si>
  <si>
    <t>NDL-SERVICE-CASE</t>
  </si>
  <si>
    <t>Netherlocks Service Case For NDL</t>
  </si>
  <si>
    <t>NL Commissioning Key (Q-Card) for MRL</t>
  </si>
  <si>
    <t>NL Commissioning Key (Q-Card) for NDL</t>
  </si>
  <si>
    <r>
      <t xml:space="preserve">All prices displayed </t>
    </r>
    <r>
      <rPr>
        <b/>
        <u/>
        <sz val="11"/>
        <rFont val="Bahnschrift"/>
        <family val="2"/>
      </rPr>
      <t>include</t>
    </r>
    <r>
      <rPr>
        <sz val="11"/>
        <rFont val="Bahnschrift"/>
        <family val="2"/>
      </rPr>
      <t xml:space="preserve"> any discount</t>
    </r>
  </si>
  <si>
    <t>Drive Systems - Power Wrench</t>
  </si>
  <si>
    <t>SFC72501</t>
  </si>
  <si>
    <t>SFC Service Case</t>
  </si>
  <si>
    <t>SFC14700</t>
  </si>
  <si>
    <t>SFC68500</t>
  </si>
  <si>
    <t>TOOL-M6-L</t>
  </si>
  <si>
    <t>SFC14000</t>
  </si>
  <si>
    <t>XGL-SWITCH-XXX</t>
  </si>
  <si>
    <t>GL available with 1 or 2 switches to indicate presence of key(s) in the lock</t>
  </si>
  <si>
    <t>XQL-SWITCH-XXX</t>
  </si>
  <si>
    <t>QL available with 1 switch to guarantee locked closed position of valve</t>
  </si>
  <si>
    <t>XSKEU-3</t>
  </si>
  <si>
    <t>XSKEU-4</t>
  </si>
  <si>
    <t>XSKEU-5</t>
  </si>
  <si>
    <t>XSKEU-6</t>
  </si>
  <si>
    <t>XSKEU-7</t>
  </si>
  <si>
    <t>XSKEU-8</t>
  </si>
  <si>
    <t>XSKEU-9</t>
  </si>
  <si>
    <t>XSKEU-10</t>
  </si>
  <si>
    <t>XSKEU-11</t>
  </si>
  <si>
    <t>XSKEU-12</t>
  </si>
  <si>
    <t>XSKSU-3</t>
  </si>
  <si>
    <t>XSKSU-4</t>
  </si>
  <si>
    <t>XSKSU-5</t>
  </si>
  <si>
    <t>XSKSU-6</t>
  </si>
  <si>
    <t>XSKSU-7</t>
  </si>
  <si>
    <t>XSKSU-8</t>
  </si>
  <si>
    <t>XSKSU-10</t>
  </si>
  <si>
    <t>ACCESSORIES (SFC)</t>
  </si>
  <si>
    <t>NL Multi-Rotational lock, incl. Carbon Steel Handwheel, To suit valves above 2 up to 8 inches</t>
  </si>
  <si>
    <t>MRL available with 1 or 2 switches to indicate presence of key(s) in the lock</t>
  </si>
  <si>
    <t>XMRL-SWITCH-XXX</t>
  </si>
  <si>
    <t>NDL available with 1 switch to guarantee locked closed position of valve</t>
  </si>
  <si>
    <t>XNDL-SWITCH-XXX</t>
  </si>
  <si>
    <t>QCARD-MRL</t>
  </si>
  <si>
    <t>QCARD-NDL</t>
  </si>
  <si>
    <t>Fitting tool M10 Security Allen Key</t>
  </si>
  <si>
    <t>Fitting tool M12 Security Allen Key</t>
  </si>
  <si>
    <t>Fitting tool M8 Security Allen Key</t>
  </si>
  <si>
    <t>Special Fitting Tool M6 L Bar</t>
  </si>
  <si>
    <t>QLA Fitting Spanner</t>
  </si>
  <si>
    <t>QLB Fitting Spanner</t>
  </si>
  <si>
    <t xml:space="preserve">QLC Fitting Spanner </t>
  </si>
  <si>
    <t>Holster style cabinet up to 227 positions, 800X600X300mm, 316 stainless steel</t>
  </si>
  <si>
    <t>Holster style cabinet up to 388 positions, 1000X800X300mm, 316 stainless steel</t>
  </si>
  <si>
    <t>Holster style cabinet up to 404 positions, 1000X1000X300mm, 316 stainless steel</t>
  </si>
  <si>
    <t>Holster style cabinet up to 227 positions, 800X600X300mm, carbon steel</t>
  </si>
  <si>
    <t>Holster style cabinet up to 388 positions, 1000X800X300mm, carbon steel</t>
  </si>
  <si>
    <t>Holster style cabinet up to 404 positions, 1000X1000X300mm, carbon steel</t>
  </si>
  <si>
    <t>NL Single Position Checker Lock for Actuator</t>
  </si>
  <si>
    <t>P5300</t>
  </si>
  <si>
    <t>sales@sofisglobal.com</t>
  </si>
  <si>
    <t>Sales Price List 07.2025</t>
  </si>
  <si>
    <t>01.07.2025</t>
  </si>
  <si>
    <t>30.06.2026*</t>
  </si>
  <si>
    <t>EasiDrive Mounting &amp; Reaction Kit for Gate Valve, HW retained</t>
  </si>
  <si>
    <t>EasiDrive Mounting &amp; Reaction Kit for Gate Valve, without HW</t>
  </si>
  <si>
    <t>EasiDrive Mounting &amp; Reaction Kit for Gearbox, HW retained</t>
  </si>
  <si>
    <t>EasiDrive Mounting &amp; Reaction Kit for Gearbox, without HW</t>
  </si>
  <si>
    <t>EasiDrive Mounting &amp; Reaction Kit for Gearbox, 20mm stem diameter</t>
  </si>
  <si>
    <t>EasiDrive Mounting &amp; Reaction Kit for Gearbox, 25mm stem diameter</t>
  </si>
  <si>
    <t>EasiDrive Mounting &amp; Reaction Kit for Gearbox, 30mm stem diameter</t>
  </si>
  <si>
    <t>EDR101169</t>
  </si>
  <si>
    <t>Spare Battery for EasyDrive Battery Tool, Li-Ion 5.2Ah 18V</t>
  </si>
  <si>
    <t>RDE20010</t>
  </si>
  <si>
    <t>Spare ED Gearbox adaptor quick connector</t>
  </si>
  <si>
    <t>EasiDrive Handwheel for manual operation - stainless steel 16"</t>
  </si>
  <si>
    <t>EDR102016</t>
  </si>
  <si>
    <t>EDR102020</t>
  </si>
  <si>
    <t>EasiDrive Handwheel for manual operation - stainless steel 20"</t>
  </si>
  <si>
    <t>EDR102024</t>
  </si>
  <si>
    <t>EDR102030</t>
  </si>
  <si>
    <t>EasiDrive Handwheel for manual operation - stainless steel 24"</t>
  </si>
  <si>
    <t>EasiDrive Handwheel for manual operation - stainless steel 30"</t>
  </si>
  <si>
    <t>EDR102380</t>
  </si>
  <si>
    <t>EasiDrive Handwheel for manual operation - carbon steel 380 mm</t>
  </si>
  <si>
    <t>EasiDrive Handwheel for manual operation - carbon steel 500 mm</t>
  </si>
  <si>
    <t>EasiDrive Handwheel for manual operation - carbon steel 600 mm</t>
  </si>
  <si>
    <t>EasiDrive Handwheel for manual operation - carbon steel 700 mm</t>
  </si>
  <si>
    <t>EDR102500</t>
  </si>
  <si>
    <t>EDR102600</t>
  </si>
  <si>
    <t>EDR102700</t>
  </si>
  <si>
    <t>XCKC-198-SS</t>
  </si>
  <si>
    <t>XCKC-252-SS</t>
  </si>
  <si>
    <t>XCKC-360-CS</t>
  </si>
  <si>
    <t>XCKC-360-SS</t>
  </si>
  <si>
    <t>XNKMS</t>
  </si>
  <si>
    <t>XNKMSLITE</t>
  </si>
  <si>
    <t xml:space="preserve">NL Key Management System </t>
  </si>
  <si>
    <t>NL Key Management System Lite</t>
  </si>
  <si>
    <t>XNEPCU</t>
  </si>
  <si>
    <t>NL Electrical Process Control Unit</t>
  </si>
  <si>
    <t>XNLCL</t>
  </si>
  <si>
    <t>NL Chain Lock</t>
  </si>
  <si>
    <t>NDL Lock Body Assembly with Lever</t>
  </si>
  <si>
    <t>XNDL-DBB-UPTO2</t>
  </si>
  <si>
    <t>XNDL-DBB-UPTO4</t>
  </si>
  <si>
    <t>XNDL-DBB-PLUS6</t>
  </si>
  <si>
    <t>NL Ninety Degree DBB Lever lock, To suit valves up to 2 inch</t>
  </si>
  <si>
    <t>NL Ninety Degree DBB Lever lock, To suit valves above 2 up to 4 inch</t>
  </si>
  <si>
    <t>NL Ninety Degree DBB Lever lock, To suit valves 6 inch and above</t>
  </si>
  <si>
    <t>SFC Key Management System</t>
  </si>
  <si>
    <t>XSKMSLITE</t>
  </si>
  <si>
    <t>SFC Key Management System Lite</t>
  </si>
  <si>
    <t>SFC Electrical Process Control Unit</t>
  </si>
  <si>
    <t>XSEPCU</t>
  </si>
  <si>
    <t>XQL-DBB-UPTO2</t>
  </si>
  <si>
    <t>XQL-DBB-UPTO4</t>
  </si>
  <si>
    <t>XQL-DBB-PLUS6</t>
  </si>
  <si>
    <t>QL Ninety Degree DBB Lever lock, To suit valves up to 2 inch</t>
  </si>
  <si>
    <t>QL Ninety Degree DBB Lever lock, To suit valves above 2 up to 4 inch</t>
  </si>
  <si>
    <t>QL Ninety Degree DBB Lever lock, To suit valves 6 inch and above</t>
  </si>
  <si>
    <t>Door Lock type D3 Bar Assembly with standard unmodified bleed screw</t>
  </si>
  <si>
    <t>Door Lock type DL3 with P&amp;F NCB1.5-8GM25-NO switch</t>
  </si>
  <si>
    <t>XSFCSYSTEMKEY</t>
  </si>
  <si>
    <t>SFC System/Group System</t>
  </si>
  <si>
    <t>XNL-CBAR</t>
  </si>
  <si>
    <t>NL Code Bar Pair (incl. rivets)</t>
  </si>
  <si>
    <t>XSFC-CBAR</t>
  </si>
  <si>
    <t>XSFC-KEYTAG</t>
  </si>
  <si>
    <t>SFC Key Tag Set</t>
  </si>
  <si>
    <t>XNL-KEYTAG</t>
  </si>
  <si>
    <t>NL Key Tag Set</t>
  </si>
  <si>
    <t>XNL-LTAG</t>
  </si>
  <si>
    <t>Back Tag for NL Lock in Stainless Steel</t>
  </si>
  <si>
    <t>XSFC-LTAG</t>
  </si>
  <si>
    <t>Back Tag for SFC Lock in Stainless Steel</t>
  </si>
  <si>
    <t>XEASI-MRK-GB25</t>
  </si>
  <si>
    <t>XEASI-MRK-GB30</t>
  </si>
  <si>
    <t>XEASI-MRK-GB20</t>
  </si>
  <si>
    <t>XEASI-MRK-VA-HW</t>
  </si>
  <si>
    <t>XEASI-MRK-VA-NW</t>
  </si>
  <si>
    <t>XEASI-MRK-GB-HW</t>
  </si>
  <si>
    <t>XEASI-MRK-GB-NW</t>
  </si>
  <si>
    <t>Power Wrench Starter Package
- 1 x PWR001001 - Power Wrench tool with retention strap, swivel connector, retention pins
- 10 x P5101-50 - Drive plates 50 (Aluminum)
- 1 x P1005 - FRL Filter, Regulator and Lubricator set</t>
  </si>
  <si>
    <t>Power Wrench Professional Package I
- 1 x PWR001001 - Power Wrench tool with retention strap, swivel connector, retention pins
- 10 x P5101-50 - Drive plates 50 (Aluminum)
- 1 x P2000 - Storage box; including air hose reel with 25m hose and FRL</t>
  </si>
  <si>
    <t>Power Wrench Professional Package II
- 2 x PWR001001 - Power Wrench tool with retention strap, swivel connector, retention pins
- 30 x P5101-50 Drive plates (Aluminum)
- 2 x P1005 - FRL Filter, Regulator and Lubricator set</t>
  </si>
  <si>
    <t>NL Compact Key Cabinet up to 8 positions, 300x300x150mm, carbon steel</t>
  </si>
  <si>
    <t>NL Compact Key Cabinet up to 12 positions, 300x300x150mm, carbon steel</t>
  </si>
  <si>
    <t>NL Compact Key Cabinet up to 18 positions, 400x300x200mm, carbon steel</t>
  </si>
  <si>
    <t>NL Compact Key Cabinet up to 32 positions, 500x400x200mm, carbon steel</t>
  </si>
  <si>
    <t>NL Compact Key Cabinet up to 50 positions, 600x400x200mm, carbon steel</t>
  </si>
  <si>
    <t>NL Compact Key Cabinet up to 72 positions, 700x500x250mm, carbon steel</t>
  </si>
  <si>
    <t>NL Compact Key Cabinet up to 112 positions, 800x600x250mm, carbon steel</t>
  </si>
  <si>
    <t>NL Compact Key Cabinet up to 165 positions, 1000x800x300mm, carbon steel</t>
  </si>
  <si>
    <t>NL Compact Key Cabinet up to 198 positions, 1000x800x300mm, carbon steel</t>
  </si>
  <si>
    <t>NL Compact Key Cabinet up to 252 positions, 1000x1000x300mm, carbon steel</t>
  </si>
  <si>
    <t>NL Compact Key Cabinet up to 360 positions, 2000x1000x500mm, carbon steel</t>
  </si>
  <si>
    <t>NL Compact Key Cabinet up to 8 positions, 300x300x150mm, 316 stainless steel</t>
  </si>
  <si>
    <t>NL Compact Key Cabinet up to 12 positions, 300x300x150mm, 316 stainless steel</t>
  </si>
  <si>
    <t>NL Compact Key Cabinet up to 18 positions, 400x300x200mm, 316 stainless steel</t>
  </si>
  <si>
    <t>NL Compact Key Cabinet up to 32 positions, 500x400x200mm, 316 stainless steel</t>
  </si>
  <si>
    <t>NL Compact Key Cabinet up to 50 positions, 600x400x200mm, 316 stainless steel</t>
  </si>
  <si>
    <t>NL Compact Key Cabinet up to 72 positions, 700x500x250mm, 316 stainless steel</t>
  </si>
  <si>
    <t>NL Compact Key Cabinet up to 112 positions, 800x600x250mm, 316 stainless steel</t>
  </si>
  <si>
    <t>NL Compact Key Cabinet up to 165 positions, 1000x800x300mm, 316 stainless steel</t>
  </si>
  <si>
    <t>NL Compact Key Cabinet up to 198 positions, 1000x800x300mm, 316 stainless steel</t>
  </si>
  <si>
    <t>NL Compact Key Cabinet up to 252 positions, 1000x1000x300mm, 316 stainless steel</t>
  </si>
  <si>
    <t>NL Compact Key Cabinet up to 360 positions, 2000x1000x500mm, 316 stainless steel</t>
  </si>
  <si>
    <t xml:space="preserve">EUR </t>
  </si>
  <si>
    <t>Europe - SDIS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</si>
</sst>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* #,##0.00_ ;_ * \-#,##0.00_ ;_ * &quot;-&quot;??_ ;_ @_ 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4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10"/>
      <color theme="2" tint="-0.749992370372631"/>
      <name val="Bahnschrift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Bahnschrift"/>
      <family val="2"/>
    </font>
    <font>
      <sz val="11"/>
      <color theme="0"/>
      <name val="Bahnschrift"/>
      <family val="2"/>
    </font>
    <font>
      <sz val="11"/>
      <color theme="2" tint="-0.749992370372631"/>
      <name val="Bahnschrift"/>
      <family val="2"/>
    </font>
    <font>
      <sz val="20"/>
      <color theme="2" tint="-0.749992370372631"/>
      <name val="Bahnschrift"/>
      <family val="2"/>
    </font>
    <font>
      <b/>
      <sz val="22"/>
      <color theme="2" tint="-0.749992370372631"/>
      <name val="Bahnschrift"/>
      <family val="2"/>
    </font>
    <font>
      <sz val="11"/>
      <color theme="3" tint="-0.249977111117893"/>
      <name val="Bahnschrift"/>
      <family val="2"/>
    </font>
    <font>
      <sz val="11"/>
      <color theme="0"/>
      <name val="Calibri"/>
      <family val="2"/>
      <scheme val="minor"/>
    </font>
    <font>
      <b/>
      <sz val="22"/>
      <color rgb="FF00B0F0"/>
      <name val="Bahnschrift"/>
      <family val="2"/>
    </font>
    <font>
      <i/>
      <sz val="10"/>
      <color theme="1" tint="0.499984740745262"/>
      <name val="Bahnschrift"/>
      <family val="2"/>
    </font>
    <font>
      <sz val="11"/>
      <name val="Bahnschrift"/>
      <family val="2"/>
    </font>
    <font>
      <sz val="11"/>
      <color rgb="FFFF0000"/>
      <name val="Calibri"/>
      <family val="2"/>
      <scheme val="minor"/>
    </font>
    <font>
      <sz val="11"/>
      <color rgb="FFFF0000"/>
      <name val="Bahnschrift"/>
      <family val="2"/>
    </font>
    <font>
      <b/>
      <u/>
      <sz val="11"/>
      <name val="Bahnschrift"/>
      <family val="2"/>
    </font>
    <font>
      <u/>
      <sz val="11"/>
      <name val="Calibri"/>
      <family val="2"/>
      <scheme val="minor"/>
    </font>
    <font>
      <b/>
      <sz val="11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00B0F0"/>
        <bgColor indexed="64"/>
      </patternFill>
    </fill>
  </fills>
  <borders count="68">
    <border>
      <left/>
      <right/>
      <top/>
      <bottom/>
      <diagonal/>
    </border>
    <border>
      <left style="thin">
        <color theme="1" tint="0.34998626667073579"/>
      </left>
      <right/>
      <top style="thick">
        <color theme="4" tint="-0.499984740745262"/>
      </top>
      <bottom style="thin">
        <color theme="4" tint="-0.499984740745262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/>
      <top style="thin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indexed="64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indexed="64"/>
      </right>
      <top/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 style="thin">
        <color indexed="64"/>
      </left>
      <right/>
      <top style="thin">
        <color theme="1" tint="0.3499862666707357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34998626667073579"/>
      </bottom>
      <diagonal/>
    </border>
    <border>
      <left/>
      <right style="thin">
        <color indexed="64"/>
      </right>
      <top/>
      <bottom style="thin">
        <color theme="1" tint="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1" tint="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theme="1" tint="0.34998626667073579"/>
      </bottom>
      <diagonal/>
    </border>
    <border>
      <left style="thin">
        <color indexed="64"/>
      </left>
      <right/>
      <top style="thin">
        <color theme="1" tint="0.34998626667073579"/>
      </top>
      <bottom style="thin">
        <color indexed="64"/>
      </bottom>
      <diagonal/>
    </border>
    <border>
      <left/>
      <right/>
      <top style="thin">
        <color theme="1" tint="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theme="1" tint="0.34998626667073579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theme="1" tint="0.34998626667073579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1" tint="0.34998626667073579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theme="1" tint="0.34998626667073579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1">
      <alignment vertical="center"/>
    </xf>
    <xf numFmtId="0" fontId="3" fillId="3" borderId="0" applyNumberFormat="0" applyBorder="0" applyAlignment="0" applyProtection="0"/>
    <xf numFmtId="0" fontId="6" fillId="0" borderId="0" applyNumberFormat="0" applyFill="0" applyBorder="0" applyAlignment="0" applyProtection="0"/>
    <xf numFmtId="164" fontId="3" fillId="0" borderId="0" applyFont="0" applyFill="0" applyBorder="0" applyAlignment="0" applyProtection="0"/>
  </cellStyleXfs>
  <cellXfs count="275">
    <xf numFmtId="0" fontId="0" fillId="0" borderId="0" xfId="0"/>
    <xf numFmtId="0" fontId="14" fillId="2" borderId="0" xfId="0" applyFont="1" applyFill="1" applyProtection="1"/>
    <xf numFmtId="0" fontId="8" fillId="2" borderId="0" xfId="0" applyFont="1" applyFill="1" applyAlignment="1" applyProtection="1">
      <alignment horizontal="left" vertical="center"/>
    </xf>
    <xf numFmtId="0" fontId="11" fillId="2" borderId="0" xfId="0" applyFont="1" applyFill="1" applyAlignment="1" applyProtection="1">
      <alignment vertical="center"/>
    </xf>
    <xf numFmtId="0" fontId="10" fillId="2" borderId="0" xfId="0" applyFont="1" applyFill="1" applyProtection="1"/>
    <xf numFmtId="0" fontId="0" fillId="0" borderId="0" xfId="0" applyProtection="1"/>
    <xf numFmtId="0" fontId="15" fillId="0" borderId="0" xfId="0" applyFont="1" applyAlignment="1" applyProtection="1">
      <alignment vertical="center"/>
    </xf>
    <xf numFmtId="0" fontId="12" fillId="0" borderId="0" xfId="0" applyFont="1" applyAlignment="1" applyProtection="1">
      <alignment vertical="center"/>
    </xf>
    <xf numFmtId="0" fontId="12" fillId="2" borderId="0" xfId="0" applyFont="1" applyFill="1" applyAlignment="1" applyProtection="1">
      <alignment vertical="center"/>
    </xf>
    <xf numFmtId="0" fontId="12" fillId="2" borderId="0" xfId="0" applyFont="1" applyFill="1" applyAlignment="1" applyProtection="1">
      <alignment horizontal="left" vertical="center"/>
    </xf>
    <xf numFmtId="0" fontId="10" fillId="2" borderId="0" xfId="0" applyFont="1" applyFill="1" applyAlignment="1" applyProtection="1">
      <alignment vertical="center"/>
    </xf>
    <xf numFmtId="0" fontId="17" fillId="2" borderId="31" xfId="0" applyFont="1" applyFill="1" applyBorder="1" applyAlignment="1" applyProtection="1">
      <alignment horizontal="left"/>
    </xf>
    <xf numFmtId="0" fontId="17" fillId="2" borderId="48" xfId="0" applyFont="1" applyFill="1" applyBorder="1" applyAlignment="1" applyProtection="1">
      <alignment horizontal="left"/>
    </xf>
    <xf numFmtId="0" fontId="17" fillId="2" borderId="49" xfId="3" applyFont="1" applyFill="1" applyBorder="1" applyProtection="1"/>
    <xf numFmtId="0" fontId="17" fillId="2" borderId="49" xfId="0" applyFont="1" applyFill="1" applyBorder="1" applyAlignment="1" applyProtection="1">
      <alignment horizontal="left"/>
    </xf>
    <xf numFmtId="0" fontId="10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/>
    </xf>
    <xf numFmtId="49" fontId="17" fillId="2" borderId="31" xfId="0" applyNumberFormat="1" applyFont="1" applyFill="1" applyBorder="1" applyProtection="1"/>
    <xf numFmtId="49" fontId="17" fillId="2" borderId="48" xfId="0" applyNumberFormat="1" applyFont="1" applyFill="1" applyBorder="1" applyProtection="1"/>
    <xf numFmtId="49" fontId="17" fillId="2" borderId="49" xfId="0" applyNumberFormat="1" applyFont="1" applyFill="1" applyBorder="1" applyProtection="1"/>
    <xf numFmtId="0" fontId="4" fillId="2" borderId="49" xfId="0" applyFont="1" applyFill="1" applyBorder="1" applyProtection="1"/>
    <xf numFmtId="49" fontId="10" fillId="2" borderId="0" xfId="0" applyNumberFormat="1" applyFont="1" applyFill="1" applyProtection="1"/>
    <xf numFmtId="49" fontId="5" fillId="2" borderId="0" xfId="0" applyNumberFormat="1" applyFont="1" applyFill="1" applyAlignment="1" applyProtection="1">
      <alignment horizontal="left"/>
    </xf>
    <xf numFmtId="0" fontId="21" fillId="2" borderId="31" xfId="4" applyFont="1" applyFill="1" applyBorder="1" applyAlignment="1" applyProtection="1"/>
    <xf numFmtId="0" fontId="17" fillId="2" borderId="48" xfId="0" applyFont="1" applyFill="1" applyBorder="1" applyProtection="1"/>
    <xf numFmtId="0" fontId="17" fillId="2" borderId="49" xfId="0" applyFont="1" applyFill="1" applyBorder="1" applyProtection="1"/>
    <xf numFmtId="49" fontId="4" fillId="2" borderId="49" xfId="3" applyNumberFormat="1" applyFont="1" applyFill="1" applyBorder="1" applyProtection="1"/>
    <xf numFmtId="0" fontId="6" fillId="2" borderId="0" xfId="4" applyFill="1" applyBorder="1" applyAlignment="1" applyProtection="1">
      <alignment horizontal="left"/>
    </xf>
    <xf numFmtId="0" fontId="9" fillId="2" borderId="0" xfId="0" applyFont="1" applyFill="1" applyProtection="1"/>
    <xf numFmtId="0" fontId="10" fillId="2" borderId="0" xfId="0" applyFont="1" applyFill="1" applyAlignment="1" applyProtection="1">
      <alignment horizontal="center"/>
    </xf>
    <xf numFmtId="0" fontId="17" fillId="2" borderId="8" xfId="3" applyFont="1" applyFill="1" applyBorder="1" applyAlignment="1" applyProtection="1"/>
    <xf numFmtId="0" fontId="17" fillId="2" borderId="21" xfId="3" applyFont="1" applyFill="1" applyBorder="1" applyAlignment="1" applyProtection="1">
      <alignment horizontal="left"/>
    </xf>
    <xf numFmtId="0" fontId="17" fillId="2" borderId="22" xfId="3" applyFont="1" applyFill="1" applyBorder="1" applyAlignment="1" applyProtection="1">
      <alignment horizontal="left"/>
    </xf>
    <xf numFmtId="0" fontId="17" fillId="2" borderId="23" xfId="3" applyFont="1" applyFill="1" applyBorder="1" applyAlignment="1" applyProtection="1">
      <alignment horizontal="left"/>
    </xf>
    <xf numFmtId="0" fontId="17" fillId="2" borderId="8" xfId="3" applyFont="1" applyFill="1" applyBorder="1" applyAlignment="1" applyProtection="1">
      <alignment horizontal="left"/>
    </xf>
    <xf numFmtId="0" fontId="10" fillId="2" borderId="0" xfId="3" applyFont="1" applyFill="1" applyBorder="1" applyAlignment="1" applyProtection="1">
      <alignment horizontal="left"/>
    </xf>
    <xf numFmtId="0" fontId="9" fillId="4" borderId="21" xfId="0" applyFont="1" applyFill="1" applyBorder="1" applyAlignment="1" applyProtection="1">
      <alignment horizontal="left"/>
    </xf>
    <xf numFmtId="0" fontId="9" fillId="4" borderId="22" xfId="0" applyFont="1" applyFill="1" applyBorder="1" applyAlignment="1" applyProtection="1">
      <alignment horizontal="left"/>
    </xf>
    <xf numFmtId="0" fontId="9" fillId="4" borderId="23" xfId="0" applyFont="1" applyFill="1" applyBorder="1" applyAlignment="1" applyProtection="1">
      <alignment horizontal="left"/>
    </xf>
    <xf numFmtId="0" fontId="17" fillId="0" borderId="8" xfId="0" applyFont="1" applyBorder="1" applyProtection="1"/>
    <xf numFmtId="0" fontId="17" fillId="0" borderId="8" xfId="0" applyFont="1" applyBorder="1" applyProtection="1"/>
    <xf numFmtId="164" fontId="17" fillId="2" borderId="8" xfId="5" applyFont="1" applyFill="1" applyBorder="1" applyAlignment="1" applyProtection="1">
      <alignment horizontal="left"/>
    </xf>
    <xf numFmtId="164" fontId="10" fillId="2" borderId="0" xfId="5" applyFont="1" applyFill="1" applyBorder="1" applyAlignment="1" applyProtection="1">
      <alignment horizontal="left"/>
    </xf>
    <xf numFmtId="0" fontId="17" fillId="0" borderId="8" xfId="0" applyFont="1" applyBorder="1" applyAlignment="1" applyProtection="1">
      <alignment horizontal="left"/>
    </xf>
    <xf numFmtId="0" fontId="17" fillId="0" borderId="51" xfId="0" applyFont="1" applyBorder="1" applyProtection="1"/>
    <xf numFmtId="0" fontId="17" fillId="0" borderId="51" xfId="0" applyFont="1" applyBorder="1" applyAlignment="1" applyProtection="1">
      <alignment horizontal="left"/>
    </xf>
    <xf numFmtId="164" fontId="17" fillId="2" borderId="51" xfId="5" applyFont="1" applyFill="1" applyBorder="1" applyAlignment="1" applyProtection="1">
      <alignment horizontal="right" vertical="top"/>
    </xf>
    <xf numFmtId="0" fontId="10" fillId="0" borderId="59" xfId="0" applyFont="1" applyBorder="1" applyAlignment="1" applyProtection="1">
      <alignment horizontal="left"/>
    </xf>
    <xf numFmtId="0" fontId="10" fillId="0" borderId="47" xfId="0" applyFont="1" applyBorder="1" applyAlignment="1" applyProtection="1">
      <alignment horizontal="center"/>
    </xf>
    <xf numFmtId="164" fontId="10" fillId="2" borderId="62" xfId="5" applyFont="1" applyFill="1" applyBorder="1" applyAlignment="1" applyProtection="1">
      <alignment horizontal="left"/>
    </xf>
    <xf numFmtId="0" fontId="22" fillId="0" borderId="60" xfId="0" applyFont="1" applyBorder="1" applyProtection="1"/>
    <xf numFmtId="0" fontId="17" fillId="0" borderId="36" xfId="0" applyFont="1" applyBorder="1" applyAlignment="1" applyProtection="1">
      <alignment horizontal="left"/>
    </xf>
    <xf numFmtId="164" fontId="17" fillId="2" borderId="63" xfId="5" applyFont="1" applyFill="1" applyBorder="1" applyAlignment="1" applyProtection="1">
      <alignment horizontal="left"/>
    </xf>
    <xf numFmtId="0" fontId="17" fillId="0" borderId="52" xfId="0" applyFont="1" applyBorder="1" applyProtection="1"/>
    <xf numFmtId="0" fontId="17" fillId="0" borderId="52" xfId="0" applyFont="1" applyBorder="1" applyAlignment="1" applyProtection="1">
      <alignment horizontal="left"/>
    </xf>
    <xf numFmtId="164" fontId="17" fillId="2" borderId="52" xfId="5" applyFont="1" applyFill="1" applyBorder="1" applyAlignment="1" applyProtection="1">
      <alignment horizontal="left"/>
    </xf>
    <xf numFmtId="0" fontId="17" fillId="0" borderId="59" xfId="0" applyFont="1" applyBorder="1" applyAlignment="1" applyProtection="1">
      <alignment horizontal="left"/>
    </xf>
    <xf numFmtId="0" fontId="17" fillId="0" borderId="47" xfId="0" applyFont="1" applyBorder="1" applyAlignment="1" applyProtection="1">
      <alignment horizontal="center"/>
    </xf>
    <xf numFmtId="164" fontId="17" fillId="2" borderId="62" xfId="5" applyFont="1" applyFill="1" applyBorder="1" applyAlignment="1" applyProtection="1">
      <alignment horizontal="left"/>
    </xf>
    <xf numFmtId="164" fontId="10" fillId="2" borderId="8" xfId="5" applyFont="1" applyFill="1" applyBorder="1" applyAlignment="1" applyProtection="1">
      <alignment horizontal="left"/>
    </xf>
    <xf numFmtId="0" fontId="17" fillId="2" borderId="8" xfId="0" applyFont="1" applyFill="1" applyBorder="1" applyAlignment="1" applyProtection="1">
      <alignment horizontal="left"/>
    </xf>
    <xf numFmtId="0" fontId="17" fillId="2" borderId="21" xfId="0" applyFont="1" applyFill="1" applyBorder="1" applyAlignment="1" applyProtection="1">
      <alignment horizontal="left"/>
    </xf>
    <xf numFmtId="0" fontId="17" fillId="2" borderId="22" xfId="0" applyFont="1" applyFill="1" applyBorder="1" applyAlignment="1" applyProtection="1">
      <alignment horizontal="left"/>
    </xf>
    <xf numFmtId="0" fontId="17" fillId="2" borderId="23" xfId="0" applyFont="1" applyFill="1" applyBorder="1" applyAlignment="1" applyProtection="1">
      <alignment horizontal="left"/>
    </xf>
    <xf numFmtId="0" fontId="17" fillId="0" borderId="8" xfId="0" applyFont="1" applyBorder="1" applyAlignment="1" applyProtection="1">
      <alignment horizontal="left"/>
    </xf>
    <xf numFmtId="0" fontId="17" fillId="2" borderId="21" xfId="0" applyFont="1" applyFill="1" applyBorder="1" applyAlignment="1" applyProtection="1">
      <alignment horizontal="left"/>
    </xf>
    <xf numFmtId="0" fontId="17" fillId="2" borderId="22" xfId="0" applyFont="1" applyFill="1" applyBorder="1" applyAlignment="1" applyProtection="1">
      <alignment horizontal="left"/>
    </xf>
    <xf numFmtId="0" fontId="17" fillId="2" borderId="23" xfId="0" applyFont="1" applyFill="1" applyBorder="1" applyAlignment="1" applyProtection="1">
      <alignment horizontal="left"/>
    </xf>
    <xf numFmtId="0" fontId="17" fillId="0" borderId="64" xfId="0" applyFont="1" applyBorder="1" applyProtection="1"/>
    <xf numFmtId="0" fontId="17" fillId="0" borderId="35" xfId="0" applyFont="1" applyBorder="1" applyAlignment="1" applyProtection="1">
      <alignment horizontal="left"/>
    </xf>
    <xf numFmtId="164" fontId="17" fillId="2" borderId="8" xfId="5" applyFont="1" applyFill="1" applyBorder="1" applyAlignment="1" applyProtection="1">
      <alignment horizontal="right" vertical="top"/>
    </xf>
    <xf numFmtId="0" fontId="10" fillId="2" borderId="23" xfId="0" applyFont="1" applyFill="1" applyBorder="1" applyAlignment="1" applyProtection="1">
      <alignment horizontal="left"/>
    </xf>
    <xf numFmtId="0" fontId="17" fillId="0" borderId="13" xfId="0" applyFont="1" applyBorder="1" applyAlignment="1" applyProtection="1">
      <alignment horizontal="left"/>
    </xf>
    <xf numFmtId="0" fontId="17" fillId="0" borderId="67" xfId="0" applyFont="1" applyBorder="1" applyAlignment="1" applyProtection="1">
      <alignment horizontal="left"/>
    </xf>
    <xf numFmtId="164" fontId="17" fillId="2" borderId="51" xfId="5" applyFont="1" applyFill="1" applyBorder="1" applyAlignment="1" applyProtection="1">
      <alignment horizontal="left"/>
    </xf>
    <xf numFmtId="0" fontId="10" fillId="0" borderId="0" xfId="0" applyFont="1" applyProtection="1"/>
    <xf numFmtId="0" fontId="17" fillId="0" borderId="12" xfId="0" applyFont="1" applyBorder="1" applyAlignment="1" applyProtection="1">
      <alignment horizontal="left"/>
    </xf>
    <xf numFmtId="0" fontId="17" fillId="0" borderId="18" xfId="0" applyFont="1" applyBorder="1" applyAlignment="1" applyProtection="1">
      <alignment horizontal="left"/>
    </xf>
    <xf numFmtId="0" fontId="10" fillId="2" borderId="19" xfId="0" applyFont="1" applyFill="1" applyBorder="1" applyAlignment="1" applyProtection="1">
      <alignment horizontal="left"/>
    </xf>
    <xf numFmtId="164" fontId="10" fillId="2" borderId="47" xfId="5" applyFont="1" applyFill="1" applyBorder="1" applyAlignment="1" applyProtection="1">
      <alignment horizontal="left"/>
    </xf>
    <xf numFmtId="0" fontId="17" fillId="2" borderId="16" xfId="0" applyFont="1" applyFill="1" applyBorder="1" applyAlignment="1" applyProtection="1">
      <alignment horizontal="left"/>
    </xf>
    <xf numFmtId="0" fontId="17" fillId="2" borderId="3" xfId="0" applyFont="1" applyFill="1" applyBorder="1" applyAlignment="1" applyProtection="1">
      <alignment horizontal="left"/>
    </xf>
    <xf numFmtId="0" fontId="17" fillId="2" borderId="17" xfId="0" applyFont="1" applyFill="1" applyBorder="1" applyAlignment="1" applyProtection="1">
      <alignment horizontal="left"/>
    </xf>
    <xf numFmtId="0" fontId="17" fillId="0" borderId="6" xfId="0" applyFont="1" applyBorder="1" applyAlignment="1" applyProtection="1">
      <alignment horizontal="left"/>
    </xf>
    <xf numFmtId="0" fontId="17" fillId="2" borderId="26" xfId="0" applyFont="1" applyFill="1" applyBorder="1" applyAlignment="1" applyProtection="1">
      <alignment horizontal="left"/>
    </xf>
    <xf numFmtId="0" fontId="17" fillId="2" borderId="11" xfId="0" applyFont="1" applyFill="1" applyBorder="1" applyAlignment="1" applyProtection="1">
      <alignment horizontal="left"/>
    </xf>
    <xf numFmtId="0" fontId="17" fillId="2" borderId="27" xfId="0" applyFont="1" applyFill="1" applyBorder="1" applyAlignment="1" applyProtection="1">
      <alignment horizontal="left"/>
    </xf>
    <xf numFmtId="0" fontId="17" fillId="2" borderId="20" xfId="0" applyFont="1" applyFill="1" applyBorder="1" applyAlignment="1" applyProtection="1">
      <alignment horizontal="left"/>
    </xf>
    <xf numFmtId="0" fontId="17" fillId="2" borderId="19" xfId="0" applyFont="1" applyFill="1" applyBorder="1" applyAlignment="1" applyProtection="1">
      <alignment horizontal="left"/>
    </xf>
    <xf numFmtId="0" fontId="10" fillId="0" borderId="21" xfId="0" applyFont="1" applyBorder="1" applyAlignment="1" applyProtection="1">
      <alignment horizontal="left"/>
    </xf>
    <xf numFmtId="0" fontId="10" fillId="2" borderId="22" xfId="0" applyFont="1" applyFill="1" applyBorder="1" applyAlignment="1" applyProtection="1">
      <alignment horizontal="left"/>
    </xf>
    <xf numFmtId="164" fontId="10" fillId="2" borderId="23" xfId="5" applyFont="1" applyFill="1" applyBorder="1" applyAlignment="1" applyProtection="1">
      <alignment horizontal="left"/>
    </xf>
    <xf numFmtId="0" fontId="17" fillId="0" borderId="16" xfId="0" applyFont="1" applyBorder="1" applyAlignment="1" applyProtection="1">
      <alignment horizontal="left"/>
    </xf>
    <xf numFmtId="0" fontId="17" fillId="0" borderId="20" xfId="0" applyFont="1" applyBorder="1" applyAlignment="1" applyProtection="1">
      <alignment horizontal="left"/>
    </xf>
    <xf numFmtId="0" fontId="17" fillId="2" borderId="20" xfId="0" applyFont="1" applyFill="1" applyBorder="1" applyAlignment="1" applyProtection="1">
      <alignment horizontal="left"/>
    </xf>
    <xf numFmtId="0" fontId="17" fillId="2" borderId="19" xfId="0" applyFont="1" applyFill="1" applyBorder="1" applyAlignment="1" applyProtection="1">
      <alignment horizontal="left"/>
    </xf>
    <xf numFmtId="0" fontId="17" fillId="2" borderId="50" xfId="0" applyFont="1" applyFill="1" applyBorder="1" applyAlignment="1" applyProtection="1">
      <alignment horizontal="left"/>
    </xf>
    <xf numFmtId="0" fontId="9" fillId="4" borderId="60" xfId="0" applyFont="1" applyFill="1" applyBorder="1" applyAlignment="1" applyProtection="1">
      <alignment horizontal="left"/>
    </xf>
    <xf numFmtId="0" fontId="9" fillId="4" borderId="36" xfId="0" applyFont="1" applyFill="1" applyBorder="1" applyAlignment="1" applyProtection="1">
      <alignment horizontal="left"/>
    </xf>
    <xf numFmtId="0" fontId="9" fillId="4" borderId="63" xfId="0" applyFont="1" applyFill="1" applyBorder="1" applyAlignment="1" applyProtection="1">
      <alignment horizontal="left"/>
    </xf>
    <xf numFmtId="0" fontId="22" fillId="0" borderId="8" xfId="0" applyFont="1" applyBorder="1" applyProtection="1"/>
    <xf numFmtId="0" fontId="17" fillId="2" borderId="24" xfId="0" applyFont="1" applyFill="1" applyBorder="1" applyAlignment="1" applyProtection="1">
      <alignment horizontal="left"/>
    </xf>
    <xf numFmtId="0" fontId="17" fillId="2" borderId="10" xfId="0" applyFont="1" applyFill="1" applyBorder="1" applyAlignment="1" applyProtection="1">
      <alignment horizontal="left"/>
    </xf>
    <xf numFmtId="0" fontId="17" fillId="2" borderId="25" xfId="0" applyFont="1" applyFill="1" applyBorder="1" applyAlignment="1" applyProtection="1">
      <alignment horizontal="left"/>
    </xf>
    <xf numFmtId="0" fontId="17" fillId="0" borderId="24" xfId="0" applyFont="1" applyBorder="1" applyAlignment="1" applyProtection="1">
      <alignment horizontal="left"/>
    </xf>
    <xf numFmtId="0" fontId="17" fillId="0" borderId="46" xfId="0" applyFont="1" applyBorder="1" applyAlignment="1" applyProtection="1">
      <alignment horizontal="left"/>
    </xf>
    <xf numFmtId="0" fontId="17" fillId="2" borderId="47" xfId="0" applyFont="1" applyFill="1" applyBorder="1" applyAlignment="1" applyProtection="1">
      <alignment horizontal="left"/>
    </xf>
    <xf numFmtId="0" fontId="22" fillId="0" borderId="60" xfId="0" applyFont="1" applyBorder="1" applyAlignment="1" applyProtection="1">
      <alignment horizontal="left"/>
    </xf>
    <xf numFmtId="0" fontId="17" fillId="2" borderId="36" xfId="0" applyFont="1" applyFill="1" applyBorder="1" applyAlignment="1" applyProtection="1">
      <alignment horizontal="left"/>
    </xf>
    <xf numFmtId="0" fontId="10" fillId="0" borderId="0" xfId="0" applyFont="1" applyAlignment="1" applyProtection="1">
      <alignment horizontal="left"/>
    </xf>
    <xf numFmtId="0" fontId="17" fillId="2" borderId="26" xfId="0" applyFont="1" applyFill="1" applyBorder="1" applyAlignment="1" applyProtection="1">
      <alignment horizontal="left"/>
    </xf>
    <xf numFmtId="0" fontId="17" fillId="2" borderId="11" xfId="0" applyFont="1" applyFill="1" applyBorder="1" applyAlignment="1" applyProtection="1">
      <alignment horizontal="left"/>
    </xf>
    <xf numFmtId="0" fontId="17" fillId="2" borderId="27" xfId="0" applyFont="1" applyFill="1" applyBorder="1" applyAlignment="1" applyProtection="1">
      <alignment horizontal="left"/>
    </xf>
    <xf numFmtId="0" fontId="10" fillId="2" borderId="13" xfId="0" applyFont="1" applyFill="1" applyBorder="1" applyAlignment="1" applyProtection="1">
      <alignment horizontal="left"/>
    </xf>
    <xf numFmtId="0" fontId="10" fillId="2" borderId="24" xfId="0" applyFont="1" applyFill="1" applyBorder="1" applyAlignment="1" applyProtection="1">
      <alignment horizontal="left"/>
    </xf>
    <xf numFmtId="0" fontId="10" fillId="2" borderId="10" xfId="0" applyFont="1" applyFill="1" applyBorder="1" applyAlignment="1" applyProtection="1">
      <alignment horizontal="left"/>
    </xf>
    <xf numFmtId="0" fontId="10" fillId="2" borderId="25" xfId="0" applyFont="1" applyFill="1" applyBorder="1" applyAlignment="1" applyProtection="1">
      <alignment horizontal="left"/>
    </xf>
    <xf numFmtId="0" fontId="22" fillId="2" borderId="8" xfId="0" applyFont="1" applyFill="1" applyBorder="1" applyProtection="1"/>
    <xf numFmtId="0" fontId="17" fillId="2" borderId="26" xfId="0" applyFont="1" applyFill="1" applyBorder="1" applyProtection="1"/>
    <xf numFmtId="0" fontId="17" fillId="2" borderId="11" xfId="0" applyFont="1" applyFill="1" applyBorder="1" applyProtection="1"/>
    <xf numFmtId="0" fontId="17" fillId="2" borderId="27" xfId="0" applyFont="1" applyFill="1" applyBorder="1" applyProtection="1"/>
    <xf numFmtId="0" fontId="10" fillId="0" borderId="21" xfId="0" applyFont="1" applyBorder="1" applyProtection="1"/>
    <xf numFmtId="164" fontId="17" fillId="2" borderId="52" xfId="5" applyFont="1" applyFill="1" applyBorder="1" applyAlignment="1" applyProtection="1">
      <alignment horizontal="right" vertical="top"/>
    </xf>
    <xf numFmtId="0" fontId="17" fillId="0" borderId="21" xfId="0" applyFont="1" applyBorder="1" applyProtection="1"/>
    <xf numFmtId="164" fontId="17" fillId="2" borderId="23" xfId="5" applyFont="1" applyFill="1" applyBorder="1" applyAlignment="1" applyProtection="1">
      <alignment horizontal="left"/>
    </xf>
    <xf numFmtId="0" fontId="10" fillId="2" borderId="46" xfId="0" applyFont="1" applyFill="1" applyBorder="1" applyAlignment="1" applyProtection="1">
      <alignment horizontal="left"/>
    </xf>
    <xf numFmtId="0" fontId="10" fillId="2" borderId="19" xfId="0" applyFont="1" applyFill="1" applyBorder="1" applyAlignment="1" applyProtection="1">
      <alignment horizontal="left"/>
    </xf>
    <xf numFmtId="49" fontId="17" fillId="2" borderId="49" xfId="3" applyNumberFormat="1" applyFont="1" applyFill="1" applyBorder="1" applyProtection="1"/>
    <xf numFmtId="0" fontId="4" fillId="2" borderId="36" xfId="0" applyFont="1" applyFill="1" applyBorder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17" fillId="2" borderId="21" xfId="3" applyFont="1" applyFill="1" applyBorder="1" applyAlignment="1" applyProtection="1">
      <alignment horizontal="left"/>
    </xf>
    <xf numFmtId="0" fontId="17" fillId="2" borderId="22" xfId="3" applyFont="1" applyFill="1" applyBorder="1" applyAlignment="1" applyProtection="1">
      <alignment horizontal="left"/>
    </xf>
    <xf numFmtId="0" fontId="17" fillId="2" borderId="23" xfId="3" applyFont="1" applyFill="1" applyBorder="1" applyAlignment="1" applyProtection="1">
      <alignment horizontal="left"/>
    </xf>
    <xf numFmtId="0" fontId="13" fillId="2" borderId="0" xfId="3" applyFont="1" applyFill="1" applyBorder="1" applyAlignment="1" applyProtection="1">
      <alignment horizontal="left"/>
    </xf>
    <xf numFmtId="0" fontId="9" fillId="4" borderId="24" xfId="0" applyFont="1" applyFill="1" applyBorder="1" applyProtection="1"/>
    <xf numFmtId="0" fontId="13" fillId="4" borderId="10" xfId="0" applyFont="1" applyFill="1" applyBorder="1" applyProtection="1"/>
    <xf numFmtId="0" fontId="13" fillId="4" borderId="25" xfId="0" applyFont="1" applyFill="1" applyBorder="1" applyProtection="1"/>
    <xf numFmtId="0" fontId="13" fillId="2" borderId="0" xfId="0" applyFont="1" applyFill="1" applyProtection="1"/>
    <xf numFmtId="0" fontId="17" fillId="0" borderId="16" xfId="0" applyFont="1" applyBorder="1" applyAlignment="1" applyProtection="1">
      <alignment horizontal="left" vertical="top"/>
    </xf>
    <xf numFmtId="0" fontId="17" fillId="2" borderId="16" xfId="0" applyFont="1" applyFill="1" applyBorder="1" applyAlignment="1" applyProtection="1">
      <alignment horizontal="left" vertical="top" wrapText="1"/>
    </xf>
    <xf numFmtId="0" fontId="17" fillId="2" borderId="3" xfId="0" applyFont="1" applyFill="1" applyBorder="1" applyAlignment="1" applyProtection="1">
      <alignment horizontal="left" vertical="top" wrapText="1"/>
    </xf>
    <xf numFmtId="0" fontId="17" fillId="2" borderId="17" xfId="0" applyFont="1" applyFill="1" applyBorder="1" applyAlignment="1" applyProtection="1">
      <alignment horizontal="left" vertical="top" wrapText="1"/>
    </xf>
    <xf numFmtId="164" fontId="17" fillId="2" borderId="8" xfId="5" applyFont="1" applyFill="1" applyBorder="1" applyAlignment="1" applyProtection="1">
      <alignment horizontal="left" vertical="top"/>
    </xf>
    <xf numFmtId="0" fontId="13" fillId="2" borderId="0" xfId="0" applyFont="1" applyFill="1" applyAlignment="1" applyProtection="1">
      <alignment horizontal="left"/>
    </xf>
    <xf numFmtId="0" fontId="17" fillId="0" borderId="24" xfId="0" applyFont="1" applyBorder="1" applyAlignment="1" applyProtection="1">
      <alignment horizontal="left" vertical="top"/>
    </xf>
    <xf numFmtId="0" fontId="17" fillId="0" borderId="4" xfId="0" applyFont="1" applyBorder="1" applyAlignment="1" applyProtection="1">
      <alignment horizontal="left" vertical="top"/>
    </xf>
    <xf numFmtId="0" fontId="17" fillId="0" borderId="20" xfId="0" applyFont="1" applyBorder="1" applyAlignment="1" applyProtection="1">
      <alignment horizontal="left" vertical="top"/>
    </xf>
    <xf numFmtId="0" fontId="17" fillId="2" borderId="20" xfId="0" applyFont="1" applyFill="1" applyBorder="1" applyAlignment="1" applyProtection="1">
      <alignment horizontal="left" vertical="top" wrapText="1"/>
    </xf>
    <xf numFmtId="0" fontId="17" fillId="2" borderId="19" xfId="0" applyFont="1" applyFill="1" applyBorder="1" applyAlignment="1" applyProtection="1">
      <alignment horizontal="left" vertical="top" wrapText="1"/>
    </xf>
    <xf numFmtId="0" fontId="17" fillId="2" borderId="50" xfId="0" applyFont="1" applyFill="1" applyBorder="1" applyAlignment="1" applyProtection="1">
      <alignment horizontal="left" vertical="top" wrapText="1"/>
    </xf>
    <xf numFmtId="0" fontId="17" fillId="2" borderId="59" xfId="0" applyFont="1" applyFill="1" applyBorder="1" applyAlignment="1" applyProtection="1">
      <alignment horizontal="left"/>
    </xf>
    <xf numFmtId="0" fontId="17" fillId="0" borderId="8" xfId="0" applyFont="1" applyBorder="1" applyAlignment="1" applyProtection="1">
      <alignment horizontal="left" vertical="top"/>
    </xf>
    <xf numFmtId="0" fontId="17" fillId="2" borderId="8" xfId="0" applyFont="1" applyFill="1" applyBorder="1" applyAlignment="1" applyProtection="1">
      <alignment horizontal="left" vertical="top" wrapText="1"/>
    </xf>
    <xf numFmtId="0" fontId="9" fillId="4" borderId="26" xfId="0" applyFont="1" applyFill="1" applyBorder="1" applyProtection="1"/>
    <xf numFmtId="0" fontId="13" fillId="4" borderId="11" xfId="0" applyFont="1" applyFill="1" applyBorder="1" applyProtection="1"/>
    <xf numFmtId="0" fontId="13" fillId="4" borderId="27" xfId="0" applyFont="1" applyFill="1" applyBorder="1" applyProtection="1"/>
    <xf numFmtId="0" fontId="17" fillId="0" borderId="4" xfId="0" applyFont="1" applyBorder="1" applyAlignment="1" applyProtection="1">
      <alignment horizontal="left"/>
    </xf>
    <xf numFmtId="0" fontId="13" fillId="2" borderId="46" xfId="0" applyFont="1" applyFill="1" applyBorder="1" applyAlignment="1" applyProtection="1">
      <alignment horizontal="left"/>
    </xf>
    <xf numFmtId="0" fontId="13" fillId="2" borderId="11" xfId="0" applyFont="1" applyFill="1" applyBorder="1" applyAlignment="1" applyProtection="1">
      <alignment horizontal="left"/>
    </xf>
    <xf numFmtId="0" fontId="13" fillId="2" borderId="19" xfId="0" applyFont="1" applyFill="1" applyBorder="1" applyAlignment="1" applyProtection="1">
      <alignment horizontal="left"/>
    </xf>
    <xf numFmtId="0" fontId="13" fillId="2" borderId="16" xfId="0" applyFont="1" applyFill="1" applyBorder="1" applyAlignment="1" applyProtection="1">
      <alignment horizontal="left"/>
    </xf>
    <xf numFmtId="0" fontId="10" fillId="2" borderId="21" xfId="0" applyFont="1" applyFill="1" applyBorder="1" applyAlignment="1" applyProtection="1">
      <alignment horizontal="left"/>
    </xf>
    <xf numFmtId="0" fontId="10" fillId="2" borderId="22" xfId="0" applyFont="1" applyFill="1" applyBorder="1" applyAlignment="1" applyProtection="1">
      <alignment horizontal="left"/>
    </xf>
    <xf numFmtId="0" fontId="10" fillId="2" borderId="23" xfId="0" applyFont="1" applyFill="1" applyBorder="1" applyAlignment="1" applyProtection="1">
      <alignment horizontal="left"/>
    </xf>
    <xf numFmtId="0" fontId="9" fillId="4" borderId="11" xfId="0" applyFont="1" applyFill="1" applyBorder="1" applyProtection="1"/>
    <xf numFmtId="0" fontId="9" fillId="4" borderId="27" xfId="0" applyFont="1" applyFill="1" applyBorder="1" applyProtection="1"/>
    <xf numFmtId="0" fontId="13" fillId="2" borderId="3" xfId="0" applyFont="1" applyFill="1" applyBorder="1" applyAlignment="1" applyProtection="1">
      <alignment horizontal="left"/>
    </xf>
    <xf numFmtId="0" fontId="17" fillId="0" borderId="65" xfId="0" applyFont="1" applyBorder="1" applyAlignment="1" applyProtection="1">
      <alignment horizontal="left"/>
    </xf>
    <xf numFmtId="0" fontId="4" fillId="2" borderId="21" xfId="0" applyFont="1" applyFill="1" applyBorder="1" applyProtection="1"/>
    <xf numFmtId="0" fontId="4" fillId="2" borderId="22" xfId="0" applyFont="1" applyFill="1" applyBorder="1" applyProtection="1"/>
    <xf numFmtId="0" fontId="4" fillId="2" borderId="23" xfId="0" applyFont="1" applyFill="1" applyBorder="1" applyProtection="1"/>
    <xf numFmtId="0" fontId="4" fillId="2" borderId="0" xfId="0" applyFont="1" applyFill="1" applyProtection="1"/>
    <xf numFmtId="0" fontId="22" fillId="0" borderId="21" xfId="0" applyFont="1" applyBorder="1" applyAlignment="1" applyProtection="1">
      <alignment horizontal="left"/>
    </xf>
    <xf numFmtId="0" fontId="17" fillId="0" borderId="22" xfId="0" applyFont="1" applyBorder="1" applyAlignment="1" applyProtection="1">
      <alignment horizontal="left"/>
    </xf>
    <xf numFmtId="164" fontId="17" fillId="0" borderId="23" xfId="5" applyFont="1" applyBorder="1" applyAlignment="1" applyProtection="1">
      <alignment horizontal="left"/>
    </xf>
    <xf numFmtId="0" fontId="17" fillId="0" borderId="14" xfId="0" applyFont="1" applyBorder="1" applyAlignment="1" applyProtection="1">
      <alignment horizontal="left"/>
    </xf>
    <xf numFmtId="164" fontId="17" fillId="0" borderId="52" xfId="5" applyFont="1" applyFill="1" applyBorder="1" applyAlignment="1" applyProtection="1">
      <alignment horizontal="left"/>
    </xf>
    <xf numFmtId="0" fontId="13" fillId="0" borderId="0" xfId="0" applyFont="1" applyAlignment="1" applyProtection="1">
      <alignment horizontal="left"/>
    </xf>
    <xf numFmtId="0" fontId="14" fillId="0" borderId="0" xfId="0" applyFont="1" applyProtection="1"/>
    <xf numFmtId="164" fontId="17" fillId="0" borderId="8" xfId="5" applyFont="1" applyFill="1" applyBorder="1" applyAlignment="1" applyProtection="1">
      <alignment horizontal="left"/>
    </xf>
    <xf numFmtId="0" fontId="9" fillId="2" borderId="0" xfId="0" applyFont="1" applyFill="1" applyAlignment="1" applyProtection="1">
      <alignment horizontal="left"/>
    </xf>
    <xf numFmtId="0" fontId="17" fillId="2" borderId="3" xfId="0" applyFont="1" applyFill="1" applyBorder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0" fontId="17" fillId="0" borderId="40" xfId="0" applyFont="1" applyBorder="1" applyAlignment="1" applyProtection="1">
      <alignment horizontal="left"/>
    </xf>
    <xf numFmtId="0" fontId="17" fillId="2" borderId="32" xfId="0" applyFont="1" applyFill="1" applyBorder="1" applyAlignment="1" applyProtection="1">
      <alignment horizontal="left"/>
    </xf>
    <xf numFmtId="0" fontId="17" fillId="2" borderId="33" xfId="0" applyFont="1" applyFill="1" applyBorder="1" applyAlignment="1" applyProtection="1">
      <alignment horizontal="left"/>
    </xf>
    <xf numFmtId="0" fontId="17" fillId="2" borderId="34" xfId="0" applyFont="1" applyFill="1" applyBorder="1" applyAlignment="1" applyProtection="1">
      <alignment horizontal="left"/>
    </xf>
    <xf numFmtId="0" fontId="17" fillId="0" borderId="41" xfId="0" applyFont="1" applyBorder="1" applyAlignment="1" applyProtection="1">
      <alignment horizontal="left"/>
    </xf>
    <xf numFmtId="0" fontId="17" fillId="2" borderId="42" xfId="0" applyFont="1" applyFill="1" applyBorder="1" applyAlignment="1" applyProtection="1">
      <alignment horizontal="left"/>
    </xf>
    <xf numFmtId="0" fontId="17" fillId="2" borderId="43" xfId="0" applyFont="1" applyFill="1" applyBorder="1" applyAlignment="1" applyProtection="1">
      <alignment horizontal="left"/>
    </xf>
    <xf numFmtId="0" fontId="17" fillId="2" borderId="44" xfId="0" applyFont="1" applyFill="1" applyBorder="1" applyAlignment="1" applyProtection="1">
      <alignment horizontal="left"/>
    </xf>
    <xf numFmtId="0" fontId="17" fillId="0" borderId="40" xfId="0" applyFont="1" applyBorder="1" applyAlignment="1" applyProtection="1">
      <alignment horizontal="left" vertical="top"/>
    </xf>
    <xf numFmtId="0" fontId="17" fillId="2" borderId="59" xfId="0" applyFont="1" applyFill="1" applyBorder="1" applyAlignment="1" applyProtection="1">
      <alignment horizontal="left" vertical="top"/>
    </xf>
    <xf numFmtId="0" fontId="22" fillId="0" borderId="60" xfId="0" applyFont="1" applyBorder="1" applyAlignment="1" applyProtection="1">
      <alignment horizontal="left" vertical="top"/>
    </xf>
    <xf numFmtId="0" fontId="17" fillId="2" borderId="66" xfId="0" applyFont="1" applyFill="1" applyBorder="1" applyAlignment="1" applyProtection="1">
      <alignment horizontal="left" wrapText="1"/>
    </xf>
    <xf numFmtId="0" fontId="17" fillId="2" borderId="37" xfId="0" applyFont="1" applyFill="1" applyBorder="1" applyAlignment="1" applyProtection="1">
      <alignment horizontal="left" wrapText="1"/>
    </xf>
    <xf numFmtId="0" fontId="17" fillId="2" borderId="38" xfId="0" applyFont="1" applyFill="1" applyBorder="1" applyAlignment="1" applyProtection="1">
      <alignment horizontal="left" wrapText="1"/>
    </xf>
    <xf numFmtId="0" fontId="17" fillId="0" borderId="46" xfId="0" applyFont="1" applyBorder="1" applyAlignment="1" applyProtection="1">
      <alignment horizontal="center"/>
    </xf>
    <xf numFmtId="0" fontId="17" fillId="0" borderId="0" xfId="0" applyFont="1" applyAlignment="1" applyProtection="1">
      <alignment horizontal="center"/>
    </xf>
    <xf numFmtId="0" fontId="17" fillId="0" borderId="61" xfId="0" applyFont="1" applyBorder="1" applyAlignment="1" applyProtection="1">
      <alignment horizontal="center"/>
    </xf>
    <xf numFmtId="0" fontId="17" fillId="0" borderId="39" xfId="0" applyFont="1" applyBorder="1" applyAlignment="1" applyProtection="1">
      <alignment horizontal="left"/>
    </xf>
    <xf numFmtId="0" fontId="17" fillId="0" borderId="32" xfId="0" applyFont="1" applyBorder="1" applyAlignment="1" applyProtection="1">
      <alignment horizontal="left"/>
    </xf>
    <xf numFmtId="0" fontId="17" fillId="0" borderId="46" xfId="0" applyFont="1" applyBorder="1" applyProtection="1"/>
    <xf numFmtId="0" fontId="17" fillId="0" borderId="0" xfId="0" applyFont="1" applyProtection="1"/>
    <xf numFmtId="0" fontId="17" fillId="0" borderId="61" xfId="0" applyFont="1" applyBorder="1" applyProtection="1"/>
    <xf numFmtId="0" fontId="17" fillId="0" borderId="57" xfId="0" applyFont="1" applyBorder="1" applyAlignment="1" applyProtection="1">
      <alignment horizontal="left"/>
    </xf>
    <xf numFmtId="0" fontId="17" fillId="0" borderId="33" xfId="0" applyFont="1" applyBorder="1" applyAlignment="1" applyProtection="1">
      <alignment horizontal="left"/>
    </xf>
    <xf numFmtId="0" fontId="17" fillId="0" borderId="58" xfId="0" applyFont="1" applyBorder="1" applyAlignment="1" applyProtection="1">
      <alignment horizontal="left"/>
    </xf>
    <xf numFmtId="164" fontId="17" fillId="0" borderId="51" xfId="5" applyFont="1" applyFill="1" applyBorder="1" applyAlignment="1" applyProtection="1">
      <alignment horizontal="right" vertical="top"/>
    </xf>
    <xf numFmtId="0" fontId="17" fillId="0" borderId="57" xfId="0" applyFont="1" applyBorder="1" applyAlignment="1" applyProtection="1">
      <alignment horizontal="left"/>
    </xf>
    <xf numFmtId="0" fontId="17" fillId="0" borderId="33" xfId="0" applyFont="1" applyBorder="1" applyAlignment="1" applyProtection="1">
      <alignment horizontal="left"/>
    </xf>
    <xf numFmtId="0" fontId="17" fillId="0" borderId="58" xfId="0" applyFont="1" applyBorder="1" applyAlignment="1" applyProtection="1">
      <alignment horizontal="left"/>
    </xf>
    <xf numFmtId="0" fontId="17" fillId="0" borderId="5" xfId="0" applyFont="1" applyBorder="1" applyAlignment="1" applyProtection="1">
      <alignment horizontal="left"/>
    </xf>
    <xf numFmtId="0" fontId="9" fillId="4" borderId="10" xfId="0" applyFont="1" applyFill="1" applyBorder="1" applyProtection="1"/>
    <xf numFmtId="0" fontId="9" fillId="4" borderId="25" xfId="0" applyFont="1" applyFill="1" applyBorder="1" applyProtection="1"/>
    <xf numFmtId="0" fontId="17" fillId="2" borderId="4" xfId="0" applyFont="1" applyFill="1" applyBorder="1" applyAlignment="1" applyProtection="1">
      <alignment horizontal="left" vertical="top"/>
    </xf>
    <xf numFmtId="0" fontId="17" fillId="2" borderId="46" xfId="0" applyFont="1" applyFill="1" applyBorder="1" applyAlignment="1" applyProtection="1">
      <alignment horizontal="left" vertical="top"/>
    </xf>
    <xf numFmtId="0" fontId="17" fillId="2" borderId="21" xfId="0" applyFont="1" applyFill="1" applyBorder="1" applyAlignment="1" applyProtection="1">
      <alignment horizontal="left" vertical="top"/>
    </xf>
    <xf numFmtId="0" fontId="17" fillId="2" borderId="22" xfId="0" applyFont="1" applyFill="1" applyBorder="1" applyAlignment="1" applyProtection="1">
      <alignment horizontal="left" vertical="top" wrapText="1"/>
    </xf>
    <xf numFmtId="164" fontId="17" fillId="2" borderId="23" xfId="5" applyFont="1" applyFill="1" applyBorder="1" applyAlignment="1" applyProtection="1">
      <alignment horizontal="left" vertical="top"/>
    </xf>
    <xf numFmtId="0" fontId="17" fillId="2" borderId="14" xfId="0" applyFont="1" applyFill="1" applyBorder="1" applyAlignment="1" applyProtection="1">
      <alignment horizontal="left" vertical="top"/>
    </xf>
    <xf numFmtId="0" fontId="17" fillId="2" borderId="24" xfId="0" applyFont="1" applyFill="1" applyBorder="1" applyAlignment="1" applyProtection="1">
      <alignment horizontal="left" vertical="top" wrapText="1"/>
    </xf>
    <xf numFmtId="0" fontId="17" fillId="2" borderId="10" xfId="0" applyFont="1" applyFill="1" applyBorder="1" applyAlignment="1" applyProtection="1">
      <alignment horizontal="left" vertical="top" wrapText="1"/>
    </xf>
    <xf numFmtId="0" fontId="17" fillId="2" borderId="25" xfId="0" applyFont="1" applyFill="1" applyBorder="1" applyAlignment="1" applyProtection="1">
      <alignment horizontal="left" vertical="top" wrapText="1"/>
    </xf>
    <xf numFmtId="0" fontId="17" fillId="2" borderId="16" xfId="0" applyFont="1" applyFill="1" applyBorder="1" applyAlignment="1" applyProtection="1">
      <alignment horizontal="left" vertical="top"/>
    </xf>
    <xf numFmtId="0" fontId="17" fillId="2" borderId="3" xfId="0" applyFont="1" applyFill="1" applyBorder="1" applyAlignment="1" applyProtection="1">
      <alignment horizontal="left" vertical="top"/>
    </xf>
    <xf numFmtId="0" fontId="17" fillId="2" borderId="16" xfId="0" applyFont="1" applyFill="1" applyBorder="1" applyAlignment="1" applyProtection="1">
      <alignment horizontal="left" vertical="top"/>
    </xf>
    <xf numFmtId="0" fontId="17" fillId="2" borderId="3" xfId="0" applyFont="1" applyFill="1" applyBorder="1" applyAlignment="1" applyProtection="1">
      <alignment horizontal="left" vertical="top"/>
    </xf>
    <xf numFmtId="0" fontId="17" fillId="2" borderId="17" xfId="0" applyFont="1" applyFill="1" applyBorder="1" applyAlignment="1" applyProtection="1">
      <alignment horizontal="left" vertical="top"/>
    </xf>
    <xf numFmtId="0" fontId="17" fillId="2" borderId="35" xfId="0" applyFont="1" applyFill="1" applyBorder="1" applyAlignment="1" applyProtection="1">
      <alignment horizontal="left" vertical="top"/>
    </xf>
    <xf numFmtId="0" fontId="17" fillId="2" borderId="28" xfId="0" applyFont="1" applyFill="1" applyBorder="1" applyAlignment="1" applyProtection="1">
      <alignment horizontal="left" vertical="top"/>
    </xf>
    <xf numFmtId="0" fontId="17" fillId="2" borderId="29" xfId="0" applyFont="1" applyFill="1" applyBorder="1" applyAlignment="1" applyProtection="1">
      <alignment horizontal="left" vertical="top"/>
    </xf>
    <xf numFmtId="0" fontId="17" fillId="2" borderId="30" xfId="0" applyFont="1" applyFill="1" applyBorder="1" applyAlignment="1" applyProtection="1">
      <alignment horizontal="left" vertical="top"/>
    </xf>
    <xf numFmtId="0" fontId="10" fillId="2" borderId="3" xfId="0" applyFont="1" applyFill="1" applyBorder="1" applyAlignment="1" applyProtection="1">
      <alignment horizontal="left"/>
    </xf>
    <xf numFmtId="0" fontId="10" fillId="2" borderId="3" xfId="0" applyFont="1" applyFill="1" applyBorder="1" applyAlignment="1" applyProtection="1">
      <alignment horizontal="left"/>
    </xf>
    <xf numFmtId="0" fontId="10" fillId="2" borderId="3" xfId="0" applyFont="1" applyFill="1" applyBorder="1" applyAlignment="1" applyProtection="1">
      <alignment horizontal="left" vertical="top"/>
    </xf>
    <xf numFmtId="0" fontId="9" fillId="4" borderId="25" xfId="0" applyFont="1" applyFill="1" applyBorder="1" applyAlignment="1" applyProtection="1">
      <alignment vertical="top"/>
    </xf>
    <xf numFmtId="0" fontId="17" fillId="2" borderId="15" xfId="0" applyFont="1" applyFill="1" applyBorder="1" applyAlignment="1" applyProtection="1">
      <alignment horizontal="left" vertical="top"/>
    </xf>
    <xf numFmtId="0" fontId="17" fillId="2" borderId="2" xfId="0" applyFont="1" applyFill="1" applyBorder="1" applyAlignment="1" applyProtection="1">
      <alignment horizontal="left" vertical="top"/>
    </xf>
    <xf numFmtId="0" fontId="17" fillId="2" borderId="7" xfId="0" applyFont="1" applyFill="1" applyBorder="1" applyAlignment="1" applyProtection="1">
      <alignment horizontal="left" vertical="top"/>
    </xf>
    <xf numFmtId="0" fontId="17" fillId="2" borderId="2" xfId="0" applyFont="1" applyFill="1" applyBorder="1" applyAlignment="1" applyProtection="1">
      <alignment horizontal="left" vertical="top" wrapText="1"/>
    </xf>
    <xf numFmtId="0" fontId="17" fillId="2" borderId="53" xfId="0" applyFont="1" applyFill="1" applyBorder="1" applyAlignment="1" applyProtection="1">
      <alignment horizontal="left" vertical="top"/>
    </xf>
    <xf numFmtId="0" fontId="17" fillId="2" borderId="18" xfId="0" applyFont="1" applyFill="1" applyBorder="1" applyAlignment="1" applyProtection="1">
      <alignment horizontal="left" vertical="top" wrapText="1"/>
    </xf>
    <xf numFmtId="0" fontId="17" fillId="2" borderId="19" xfId="0" applyFont="1" applyFill="1" applyBorder="1" applyAlignment="1" applyProtection="1">
      <alignment horizontal="left" vertical="top"/>
    </xf>
    <xf numFmtId="0" fontId="17" fillId="2" borderId="54" xfId="0" applyFont="1" applyFill="1" applyBorder="1" applyAlignment="1" applyProtection="1">
      <alignment horizontal="left" vertical="top"/>
    </xf>
    <xf numFmtId="0" fontId="17" fillId="2" borderId="23" xfId="0" applyFont="1" applyFill="1" applyBorder="1" applyAlignment="1" applyProtection="1">
      <alignment horizontal="left" vertical="top"/>
    </xf>
    <xf numFmtId="0" fontId="17" fillId="2" borderId="55" xfId="0" applyFont="1" applyFill="1" applyBorder="1" applyAlignment="1" applyProtection="1">
      <alignment vertical="top"/>
    </xf>
    <xf numFmtId="0" fontId="17" fillId="2" borderId="9" xfId="0" applyFont="1" applyFill="1" applyBorder="1" applyAlignment="1" applyProtection="1">
      <alignment vertical="top" wrapText="1"/>
    </xf>
    <xf numFmtId="0" fontId="17" fillId="2" borderId="10" xfId="0" applyFont="1" applyFill="1" applyBorder="1" applyAlignment="1" applyProtection="1">
      <alignment vertical="top"/>
    </xf>
    <xf numFmtId="0" fontId="17" fillId="2" borderId="56" xfId="0" applyFont="1" applyFill="1" applyBorder="1" applyAlignment="1" applyProtection="1">
      <alignment vertical="top"/>
    </xf>
    <xf numFmtId="0" fontId="17" fillId="2" borderId="15" xfId="0" applyFont="1" applyFill="1" applyBorder="1" applyAlignment="1" applyProtection="1">
      <alignment vertical="top"/>
    </xf>
    <xf numFmtId="0" fontId="17" fillId="2" borderId="2" xfId="0" applyFont="1" applyFill="1" applyBorder="1" applyAlignment="1" applyProtection="1">
      <alignment vertical="top" wrapText="1"/>
    </xf>
    <xf numFmtId="0" fontId="17" fillId="2" borderId="3" xfId="0" applyFont="1" applyFill="1" applyBorder="1" applyAlignment="1" applyProtection="1">
      <alignment vertical="top"/>
    </xf>
    <xf numFmtId="0" fontId="17" fillId="2" borderId="7" xfId="0" applyFont="1" applyFill="1" applyBorder="1" applyAlignment="1" applyProtection="1">
      <alignment vertical="top"/>
    </xf>
    <xf numFmtId="0" fontId="19" fillId="2" borderId="0" xfId="0" applyFont="1" applyFill="1" applyAlignment="1" applyProtection="1">
      <alignment horizontal="left"/>
    </xf>
    <xf numFmtId="0" fontId="17" fillId="2" borderId="53" xfId="0" applyFont="1" applyFill="1" applyBorder="1" applyAlignment="1" applyProtection="1">
      <alignment vertical="top"/>
    </xf>
    <xf numFmtId="0" fontId="17" fillId="2" borderId="18" xfId="0" applyFont="1" applyFill="1" applyBorder="1" applyAlignment="1" applyProtection="1">
      <alignment vertical="top" wrapText="1"/>
    </xf>
    <xf numFmtId="0" fontId="17" fillId="2" borderId="19" xfId="0" applyFont="1" applyFill="1" applyBorder="1" applyAlignment="1" applyProtection="1">
      <alignment vertical="top"/>
    </xf>
    <xf numFmtId="0" fontId="17" fillId="2" borderId="54" xfId="0" applyFont="1" applyFill="1" applyBorder="1" applyAlignment="1" applyProtection="1">
      <alignment vertical="top"/>
    </xf>
    <xf numFmtId="0" fontId="17" fillId="2" borderId="22" xfId="0" applyFont="1" applyFill="1" applyBorder="1" applyAlignment="1" applyProtection="1">
      <alignment horizontal="left" vertical="top" wrapText="1"/>
    </xf>
    <xf numFmtId="0" fontId="17" fillId="2" borderId="22" xfId="0" applyFont="1" applyFill="1" applyBorder="1" applyAlignment="1" applyProtection="1">
      <alignment horizontal="left" vertical="top"/>
    </xf>
    <xf numFmtId="0" fontId="17" fillId="2" borderId="2" xfId="0" applyFont="1" applyFill="1" applyBorder="1" applyAlignment="1" applyProtection="1">
      <alignment horizontal="left" wrapText="1"/>
    </xf>
    <xf numFmtId="0" fontId="17" fillId="2" borderId="7" xfId="0" applyFont="1" applyFill="1" applyBorder="1" applyAlignment="1" applyProtection="1">
      <alignment horizontal="left"/>
    </xf>
    <xf numFmtId="0" fontId="17" fillId="2" borderId="2" xfId="0" applyFont="1" applyFill="1" applyBorder="1" applyAlignment="1" applyProtection="1">
      <alignment horizontal="left"/>
    </xf>
    <xf numFmtId="0" fontId="18" fillId="0" borderId="0" xfId="0" applyFont="1" applyProtection="1"/>
    <xf numFmtId="0" fontId="17" fillId="2" borderId="3" xfId="0" applyFont="1" applyFill="1" applyBorder="1" applyAlignment="1" applyProtection="1">
      <alignment horizontal="left" wrapText="1"/>
    </xf>
    <xf numFmtId="0" fontId="17" fillId="2" borderId="17" xfId="0" applyFont="1" applyFill="1" applyBorder="1" applyAlignment="1" applyProtection="1">
      <alignment horizontal="left" wrapText="1"/>
    </xf>
    <xf numFmtId="0" fontId="17" fillId="2" borderId="15" xfId="0" applyFont="1" applyFill="1" applyBorder="1" applyAlignment="1" applyProtection="1">
      <alignment horizontal="left"/>
    </xf>
    <xf numFmtId="0" fontId="4" fillId="2" borderId="45" xfId="0" applyFont="1" applyFill="1" applyBorder="1" applyProtection="1"/>
    <xf numFmtId="0" fontId="17" fillId="2" borderId="8" xfId="3" applyFont="1" applyFill="1" applyBorder="1" applyAlignment="1" applyProtection="1">
      <alignment horizontal="left"/>
    </xf>
    <xf numFmtId="0" fontId="17" fillId="0" borderId="40" xfId="0" applyFont="1" applyBorder="1" applyAlignment="1" applyProtection="1">
      <alignment vertical="top"/>
    </xf>
    <xf numFmtId="0" fontId="17" fillId="0" borderId="8" xfId="0" applyFont="1" applyBorder="1" applyAlignment="1" applyProtection="1">
      <alignment vertical="top"/>
    </xf>
    <xf numFmtId="0" fontId="17" fillId="0" borderId="8" xfId="0" applyFont="1" applyBorder="1" applyAlignment="1" applyProtection="1">
      <alignment vertical="top" wrapText="1"/>
    </xf>
    <xf numFmtId="0" fontId="17" fillId="2" borderId="0" xfId="0" applyFont="1" applyFill="1" applyProtection="1"/>
    <xf numFmtId="0" fontId="16" fillId="2" borderId="0" xfId="0" applyFont="1" applyFill="1" applyProtection="1"/>
  </cellXfs>
  <cellStyles count="6">
    <cellStyle name="20% - Accent1" xfId="3" builtinId="30"/>
    <cellStyle name="Comma" xfId="5" builtinId="3"/>
    <cellStyle name="Hyperlink" xfId="4" builtinId="8"/>
    <cellStyle name="Normal" xfId="0" builtinId="0"/>
    <cellStyle name="Normal 2" xfId="1" xr:uid="{00000000-0005-0000-0000-000003000000}"/>
    <cellStyle name="Who Format" xfId="2" xr:uid="{00000000-0005-0000-0000-000004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theme="4" tint="-0.499984740745262"/>
      </font>
    </dxf>
    <dxf>
      <font>
        <b/>
        <i val="0"/>
        <color theme="3"/>
      </font>
    </dxf>
    <dxf>
      <font>
        <b val="0"/>
        <i val="0"/>
        <color theme="1" tint="0.499984740745262"/>
      </font>
      <border>
        <top style="medium">
          <color theme="4" tint="-0.499984740745262"/>
        </top>
      </border>
    </dxf>
    <dxf>
      <font>
        <b val="0"/>
        <i val="0"/>
        <color theme="1" tint="0.34998626667073579"/>
      </font>
      <border>
        <bottom style="medium">
          <color theme="4" tint="-0.499984740745262"/>
        </bottom>
      </border>
    </dxf>
    <dxf>
      <font>
        <b val="0"/>
        <i val="0"/>
        <color theme="3"/>
      </font>
      <border>
        <top style="thin">
          <color theme="4" tint="-0.499984740745262"/>
        </top>
        <bottom style="thin">
          <color theme="4" tint="-0.499984740745262"/>
        </bottom>
        <horizontal style="thin">
          <color theme="4" tint="-0.499984740745262"/>
        </horizontal>
      </border>
    </dxf>
  </dxfs>
  <tableStyles count="1" defaultTableStyle="TableStyleMedium2" defaultPivotStyle="PivotStyleLight16">
    <tableStyle name="Chore schedule table" pivot="0" count="5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secondColumnStripe" dxfId="2"/>
    </tableStyle>
  </tableStyles>
  <colors>
    <mruColors>
      <color rgb="FFFF5050"/>
      <color rgb="FFFFE7E7"/>
      <color rgb="FF2A2A2A"/>
      <color rgb="FF2626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0</xdr:row>
      <xdr:rowOff>219075</xdr:rowOff>
    </xdr:from>
    <xdr:to>
      <xdr:col>6</xdr:col>
      <xdr:colOff>34290</xdr:colOff>
      <xdr:row>8</xdr:row>
      <xdr:rowOff>42476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F9413D-50EA-40E5-8A72-0B47D61F1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9975" y="219075"/>
          <a:ext cx="1228725" cy="16071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0</xdr:row>
      <xdr:rowOff>219075</xdr:rowOff>
    </xdr:from>
    <xdr:to>
      <xdr:col>6</xdr:col>
      <xdr:colOff>34290</xdr:colOff>
      <xdr:row>8</xdr:row>
      <xdr:rowOff>42476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3EDFB7-F98D-47AB-95E8-1499C3FF0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9975" y="219075"/>
          <a:ext cx="1228725" cy="16071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0</xdr:row>
      <xdr:rowOff>219075</xdr:rowOff>
    </xdr:from>
    <xdr:to>
      <xdr:col>6</xdr:col>
      <xdr:colOff>34290</xdr:colOff>
      <xdr:row>8</xdr:row>
      <xdr:rowOff>41206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62BB5C-2321-4BBA-B093-2EFC037FC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9975" y="219075"/>
          <a:ext cx="1228725" cy="16071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0</xdr:row>
      <xdr:rowOff>219075</xdr:rowOff>
    </xdr:from>
    <xdr:to>
      <xdr:col>6</xdr:col>
      <xdr:colOff>34290</xdr:colOff>
      <xdr:row>8</xdr:row>
      <xdr:rowOff>41206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D9D7FE-FB73-4A21-9334-B355D2D1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220980"/>
          <a:ext cx="1245870" cy="1603306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0</xdr:row>
      <xdr:rowOff>219075</xdr:rowOff>
    </xdr:from>
    <xdr:to>
      <xdr:col>6</xdr:col>
      <xdr:colOff>41910</xdr:colOff>
      <xdr:row>8</xdr:row>
      <xdr:rowOff>33586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2DDA8B-0D5E-455D-903C-AC1DFB48A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7225" y="219075"/>
          <a:ext cx="1253490" cy="1593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ofisglobal.com/" TargetMode="External"/><Relationship Id="rId1" Type="http://schemas.openxmlformats.org/officeDocument/2006/relationships/hyperlink" Target="mailto:sales@sofisgloba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sofisglobal.com/" TargetMode="External"/><Relationship Id="rId1" Type="http://schemas.openxmlformats.org/officeDocument/2006/relationships/hyperlink" Target="mailto:sales@sofisglobal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sofisglobal.com/" TargetMode="External"/><Relationship Id="rId1" Type="http://schemas.openxmlformats.org/officeDocument/2006/relationships/hyperlink" Target="mailto:sales@sofisglobal.com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www.sofisglobal.com/" TargetMode="External"/><Relationship Id="rId1" Type="http://schemas.openxmlformats.org/officeDocument/2006/relationships/hyperlink" Target="mailto:sales@sofisglobal.com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0C0"/>
    <pageSetUpPr fitToPage="1"/>
  </sheetPr>
  <dimension ref="A1:H290"/>
  <sheetViews>
    <sheetView showGridLines="0" tabSelected="1" zoomScaleNormal="100" zoomScaleSheetLayoutView="100" workbookViewId="0">
      <pane ySplit="10" topLeftCell="A11" activePane="bottomLeft" state="frozen"/>
      <selection pane="bottomLeft" activeCell="J17" sqref="J17"/>
    </sheetView>
  </sheetViews>
  <sheetFormatPr defaultColWidth="9.140625" defaultRowHeight="14.25" x14ac:dyDescent="0.2"/>
  <cols>
    <col min="1" max="1" width="5.7109375" style="28" customWidth="1"/>
    <col min="2" max="2" width="28.7109375" style="4" customWidth="1"/>
    <col min="3" max="3" width="14.7109375" style="4" customWidth="1"/>
    <col min="4" max="4" width="25.7109375" style="4" customWidth="1"/>
    <col min="5" max="5" width="48.7109375" style="4" customWidth="1"/>
    <col min="6" max="6" width="18.7109375" style="4" customWidth="1"/>
    <col min="7" max="7" width="5.7109375" style="4" customWidth="1"/>
    <col min="8" max="8" width="5.5703125" style="4" customWidth="1"/>
    <col min="9" max="16384" width="9.140625" style="4"/>
  </cols>
  <sheetData>
    <row r="1" spans="1:8" s="5" customFormat="1" ht="20.25" customHeight="1" x14ac:dyDescent="0.25">
      <c r="A1" s="1"/>
      <c r="B1" s="2"/>
      <c r="C1" s="3"/>
      <c r="D1" s="3"/>
      <c r="E1" s="3"/>
      <c r="F1" s="3"/>
      <c r="G1" s="3"/>
      <c r="H1" s="4"/>
    </row>
    <row r="2" spans="1:8" s="5" customFormat="1" ht="30" customHeight="1" x14ac:dyDescent="0.25">
      <c r="A2" s="1"/>
      <c r="B2" s="6" t="s">
        <v>898</v>
      </c>
      <c r="C2" s="7"/>
      <c r="D2" s="8"/>
      <c r="E2" s="8"/>
      <c r="F2" s="9"/>
      <c r="G2" s="9"/>
      <c r="H2" s="4"/>
    </row>
    <row r="3" spans="1:8" s="5" customFormat="1" ht="15" x14ac:dyDescent="0.25">
      <c r="A3" s="1"/>
      <c r="B3" s="10"/>
      <c r="C3" s="10"/>
      <c r="D3" s="10"/>
      <c r="E3" s="10"/>
      <c r="F3" s="10"/>
      <c r="G3" s="10"/>
      <c r="H3" s="4"/>
    </row>
    <row r="4" spans="1:8" s="5" customFormat="1" ht="15" x14ac:dyDescent="0.25">
      <c r="A4" s="1"/>
      <c r="B4" s="11" t="s">
        <v>0</v>
      </c>
      <c r="C4" s="12"/>
      <c r="D4" s="13" t="s">
        <v>1</v>
      </c>
      <c r="E4" s="14" t="s">
        <v>899</v>
      </c>
      <c r="F4" s="15"/>
      <c r="G4" s="16"/>
      <c r="H4" s="4"/>
    </row>
    <row r="5" spans="1:8" s="5" customFormat="1" ht="15" x14ac:dyDescent="0.25">
      <c r="A5" s="1"/>
      <c r="B5" s="11" t="s">
        <v>2</v>
      </c>
      <c r="C5" s="12"/>
      <c r="D5" s="13" t="s">
        <v>3</v>
      </c>
      <c r="E5" s="14" t="s">
        <v>900</v>
      </c>
      <c r="F5" s="15"/>
      <c r="G5" s="16"/>
      <c r="H5" s="4"/>
    </row>
    <row r="6" spans="1:8" s="5" customFormat="1" ht="15" x14ac:dyDescent="0.25">
      <c r="A6" s="1"/>
      <c r="B6" s="17" t="s">
        <v>4</v>
      </c>
      <c r="C6" s="18"/>
      <c r="D6" s="19" t="s">
        <v>5</v>
      </c>
      <c r="E6" s="20" t="s">
        <v>1005</v>
      </c>
      <c r="F6" s="21"/>
      <c r="G6" s="22"/>
      <c r="H6" s="4"/>
    </row>
    <row r="7" spans="1:8" s="5" customFormat="1" ht="15" x14ac:dyDescent="0.25">
      <c r="A7" s="1"/>
      <c r="B7" s="23" t="s">
        <v>897</v>
      </c>
      <c r="C7" s="24"/>
      <c r="D7" s="25" t="s">
        <v>6</v>
      </c>
      <c r="E7" s="26" t="s">
        <v>1006</v>
      </c>
      <c r="F7" s="4"/>
      <c r="G7" s="27"/>
      <c r="H7" s="4"/>
    </row>
    <row r="8" spans="1:8" s="5" customFormat="1" ht="15" x14ac:dyDescent="0.25">
      <c r="A8" s="1"/>
      <c r="B8" s="23" t="s">
        <v>7</v>
      </c>
      <c r="C8" s="24"/>
      <c r="D8" s="25" t="s">
        <v>8</v>
      </c>
      <c r="E8" s="25" t="s">
        <v>845</v>
      </c>
      <c r="F8" s="4"/>
      <c r="G8" s="27"/>
      <c r="H8" s="4"/>
    </row>
    <row r="9" spans="1:8" ht="15" customHeight="1" x14ac:dyDescent="0.2">
      <c r="B9" s="29"/>
      <c r="C9" s="29"/>
      <c r="D9" s="29"/>
      <c r="E9" s="29"/>
      <c r="F9" s="29"/>
      <c r="G9" s="29"/>
    </row>
    <row r="10" spans="1:8" ht="15" customHeight="1" x14ac:dyDescent="0.2">
      <c r="B10" s="30" t="s">
        <v>9</v>
      </c>
      <c r="C10" s="31" t="s">
        <v>10</v>
      </c>
      <c r="D10" s="32"/>
      <c r="E10" s="33"/>
      <c r="F10" s="34" t="s">
        <v>11</v>
      </c>
      <c r="G10" s="35"/>
    </row>
    <row r="11" spans="1:8" x14ac:dyDescent="0.2">
      <c r="B11" s="36" t="s">
        <v>12</v>
      </c>
      <c r="C11" s="37"/>
      <c r="D11" s="37"/>
      <c r="E11" s="37"/>
      <c r="F11" s="38"/>
      <c r="G11" s="28"/>
    </row>
    <row r="12" spans="1:8" x14ac:dyDescent="0.2">
      <c r="B12" s="39" t="s">
        <v>305</v>
      </c>
      <c r="C12" s="40" t="s">
        <v>308</v>
      </c>
      <c r="D12" s="40"/>
      <c r="E12" s="40"/>
      <c r="F12" s="41">
        <v>788</v>
      </c>
      <c r="G12" s="42"/>
    </row>
    <row r="13" spans="1:8" x14ac:dyDescent="0.2">
      <c r="B13" s="39" t="s">
        <v>307</v>
      </c>
      <c r="C13" s="40" t="s">
        <v>416</v>
      </c>
      <c r="D13" s="40"/>
      <c r="E13" s="40"/>
      <c r="F13" s="41">
        <v>1008</v>
      </c>
      <c r="G13" s="42"/>
    </row>
    <row r="14" spans="1:8" x14ac:dyDescent="0.2">
      <c r="B14" s="39" t="s">
        <v>306</v>
      </c>
      <c r="C14" s="40" t="s">
        <v>417</v>
      </c>
      <c r="D14" s="40"/>
      <c r="E14" s="40"/>
      <c r="F14" s="41">
        <v>1126.4000000000001</v>
      </c>
      <c r="G14" s="42"/>
    </row>
    <row r="15" spans="1:8" x14ac:dyDescent="0.2">
      <c r="B15" s="39" t="s">
        <v>311</v>
      </c>
      <c r="C15" s="40" t="s">
        <v>314</v>
      </c>
      <c r="D15" s="40"/>
      <c r="E15" s="40"/>
      <c r="F15" s="41">
        <v>704</v>
      </c>
      <c r="G15" s="42"/>
    </row>
    <row r="16" spans="1:8" x14ac:dyDescent="0.2">
      <c r="B16" s="39" t="s">
        <v>312</v>
      </c>
      <c r="C16" s="40" t="s">
        <v>418</v>
      </c>
      <c r="D16" s="40"/>
      <c r="E16" s="40"/>
      <c r="F16" s="41">
        <v>923.2</v>
      </c>
      <c r="G16" s="42"/>
    </row>
    <row r="17" spans="2:7" x14ac:dyDescent="0.2">
      <c r="B17" s="39" t="s">
        <v>313</v>
      </c>
      <c r="C17" s="40" t="s">
        <v>419</v>
      </c>
      <c r="D17" s="40"/>
      <c r="E17" s="40"/>
      <c r="F17" s="41">
        <v>1041.5999999999999</v>
      </c>
      <c r="G17" s="42"/>
    </row>
    <row r="18" spans="2:7" x14ac:dyDescent="0.2">
      <c r="B18" s="39" t="s">
        <v>310</v>
      </c>
      <c r="C18" s="40" t="s">
        <v>421</v>
      </c>
      <c r="D18" s="40"/>
      <c r="E18" s="40"/>
      <c r="F18" s="41">
        <v>375.2</v>
      </c>
      <c r="G18" s="42"/>
    </row>
    <row r="19" spans="2:7" x14ac:dyDescent="0.2">
      <c r="B19" s="39" t="s">
        <v>309</v>
      </c>
      <c r="C19" s="43" t="s">
        <v>420</v>
      </c>
      <c r="D19" s="43"/>
      <c r="E19" s="43"/>
      <c r="F19" s="41">
        <v>459.2</v>
      </c>
      <c r="G19" s="42"/>
    </row>
    <row r="20" spans="2:7" ht="15" customHeight="1" x14ac:dyDescent="0.2">
      <c r="B20" s="39" t="s">
        <v>317</v>
      </c>
      <c r="C20" s="43" t="s">
        <v>318</v>
      </c>
      <c r="D20" s="43" t="s">
        <v>14</v>
      </c>
      <c r="E20" s="43" t="s">
        <v>14</v>
      </c>
      <c r="F20" s="41">
        <v>412</v>
      </c>
      <c r="G20" s="42"/>
    </row>
    <row r="21" spans="2:7" ht="15" customHeight="1" x14ac:dyDescent="0.2">
      <c r="B21" s="39" t="s">
        <v>315</v>
      </c>
      <c r="C21" s="43" t="s">
        <v>15</v>
      </c>
      <c r="D21" s="43" t="s">
        <v>16</v>
      </c>
      <c r="E21" s="43" t="s">
        <v>16</v>
      </c>
      <c r="F21" s="41">
        <v>210.4</v>
      </c>
      <c r="G21" s="42"/>
    </row>
    <row r="22" spans="2:7" x14ac:dyDescent="0.2">
      <c r="B22" s="39" t="s">
        <v>316</v>
      </c>
      <c r="C22" s="43" t="s">
        <v>17</v>
      </c>
      <c r="D22" s="43" t="s">
        <v>18</v>
      </c>
      <c r="E22" s="43" t="s">
        <v>18</v>
      </c>
      <c r="F22" s="41">
        <v>210.4</v>
      </c>
      <c r="G22" s="42"/>
    </row>
    <row r="23" spans="2:7" x14ac:dyDescent="0.2">
      <c r="B23" s="44" t="s">
        <v>853</v>
      </c>
      <c r="C23" s="45" t="s">
        <v>854</v>
      </c>
      <c r="D23" s="45"/>
      <c r="E23" s="45"/>
      <c r="F23" s="46" t="s">
        <v>129</v>
      </c>
      <c r="G23" s="42"/>
    </row>
    <row r="24" spans="2:7" x14ac:dyDescent="0.2">
      <c r="B24" s="47"/>
      <c r="C24" s="48"/>
      <c r="D24" s="48"/>
      <c r="E24" s="48"/>
      <c r="F24" s="49"/>
      <c r="G24" s="42"/>
    </row>
    <row r="25" spans="2:7" x14ac:dyDescent="0.2">
      <c r="B25" s="50" t="s">
        <v>414</v>
      </c>
      <c r="C25" s="51"/>
      <c r="D25" s="51"/>
      <c r="E25" s="51"/>
      <c r="F25" s="52"/>
      <c r="G25" s="42"/>
    </row>
    <row r="26" spans="2:7" x14ac:dyDescent="0.2">
      <c r="B26" s="53" t="s">
        <v>325</v>
      </c>
      <c r="C26" s="54" t="s">
        <v>331</v>
      </c>
      <c r="D26" s="54"/>
      <c r="E26" s="54"/>
      <c r="F26" s="55">
        <v>68.8</v>
      </c>
      <c r="G26" s="42"/>
    </row>
    <row r="27" spans="2:7" ht="14.45" customHeight="1" x14ac:dyDescent="0.2">
      <c r="B27" s="39" t="s">
        <v>326</v>
      </c>
      <c r="C27" s="43" t="s">
        <v>332</v>
      </c>
      <c r="D27" s="43"/>
      <c r="E27" s="43"/>
      <c r="F27" s="55">
        <v>68.8</v>
      </c>
      <c r="G27" s="42"/>
    </row>
    <row r="28" spans="2:7" ht="14.45" customHeight="1" x14ac:dyDescent="0.2">
      <c r="B28" s="39" t="s">
        <v>327</v>
      </c>
      <c r="C28" s="43" t="s">
        <v>333</v>
      </c>
      <c r="D28" s="43"/>
      <c r="E28" s="43"/>
      <c r="F28" s="55">
        <v>68.8</v>
      </c>
      <c r="G28" s="42"/>
    </row>
    <row r="29" spans="2:7" ht="14.45" customHeight="1" x14ac:dyDescent="0.2">
      <c r="B29" s="39" t="s">
        <v>328</v>
      </c>
      <c r="C29" s="43" t="s">
        <v>334</v>
      </c>
      <c r="D29" s="43"/>
      <c r="E29" s="43"/>
      <c r="F29" s="55">
        <v>68.8</v>
      </c>
      <c r="G29" s="42"/>
    </row>
    <row r="30" spans="2:7" ht="14.45" customHeight="1" x14ac:dyDescent="0.2">
      <c r="B30" s="39" t="s">
        <v>329</v>
      </c>
      <c r="C30" s="43" t="s">
        <v>335</v>
      </c>
      <c r="D30" s="43"/>
      <c r="E30" s="43"/>
      <c r="F30" s="55">
        <v>68.8</v>
      </c>
      <c r="G30" s="42"/>
    </row>
    <row r="31" spans="2:7" ht="14.45" customHeight="1" x14ac:dyDescent="0.2">
      <c r="B31" s="39" t="s">
        <v>330</v>
      </c>
      <c r="C31" s="43" t="s">
        <v>336</v>
      </c>
      <c r="D31" s="43"/>
      <c r="E31" s="43"/>
      <c r="F31" s="55">
        <v>68.8</v>
      </c>
      <c r="G31" s="42"/>
    </row>
    <row r="32" spans="2:7" ht="14.45" customHeight="1" x14ac:dyDescent="0.2">
      <c r="B32" s="56"/>
      <c r="C32" s="57"/>
      <c r="D32" s="57"/>
      <c r="E32" s="57"/>
      <c r="F32" s="58"/>
      <c r="G32" s="42"/>
    </row>
    <row r="33" spans="2:7" ht="14.45" customHeight="1" x14ac:dyDescent="0.2">
      <c r="B33" s="50" t="s">
        <v>415</v>
      </c>
      <c r="C33" s="51"/>
      <c r="D33" s="51"/>
      <c r="E33" s="51"/>
      <c r="F33" s="52"/>
      <c r="G33" s="42"/>
    </row>
    <row r="34" spans="2:7" ht="14.45" customHeight="1" x14ac:dyDescent="0.2">
      <c r="B34" s="39" t="s">
        <v>319</v>
      </c>
      <c r="C34" s="43" t="s">
        <v>320</v>
      </c>
      <c r="D34" s="43"/>
      <c r="E34" s="43"/>
      <c r="F34" s="41">
        <v>164</v>
      </c>
      <c r="G34" s="42"/>
    </row>
    <row r="35" spans="2:7" ht="14.45" customHeight="1" x14ac:dyDescent="0.2">
      <c r="B35" s="39" t="s">
        <v>321</v>
      </c>
      <c r="C35" s="43" t="s">
        <v>324</v>
      </c>
      <c r="D35" s="43"/>
      <c r="E35" s="43"/>
      <c r="F35" s="41">
        <v>164</v>
      </c>
      <c r="G35" s="42"/>
    </row>
    <row r="36" spans="2:7" ht="14.45" customHeight="1" x14ac:dyDescent="0.2">
      <c r="B36" s="39" t="s">
        <v>322</v>
      </c>
      <c r="C36" s="43" t="s">
        <v>323</v>
      </c>
      <c r="D36" s="43"/>
      <c r="E36" s="43"/>
      <c r="F36" s="41">
        <v>164</v>
      </c>
      <c r="G36" s="42"/>
    </row>
    <row r="37" spans="2:7" ht="14.45" customHeight="1" x14ac:dyDescent="0.2">
      <c r="B37" s="39" t="s">
        <v>337</v>
      </c>
      <c r="C37" s="43" t="s">
        <v>338</v>
      </c>
      <c r="D37" s="43"/>
      <c r="E37" s="43"/>
      <c r="F37" s="41">
        <v>164</v>
      </c>
      <c r="G37" s="42"/>
    </row>
    <row r="38" spans="2:7" ht="14.45" customHeight="1" x14ac:dyDescent="0.2">
      <c r="B38" s="39" t="s">
        <v>339</v>
      </c>
      <c r="C38" s="43" t="s">
        <v>340</v>
      </c>
      <c r="D38" s="43"/>
      <c r="E38" s="43"/>
      <c r="F38" s="41">
        <v>164</v>
      </c>
      <c r="G38" s="42"/>
    </row>
    <row r="39" spans="2:7" ht="14.45" customHeight="1" x14ac:dyDescent="0.2">
      <c r="B39" s="39" t="s">
        <v>342</v>
      </c>
      <c r="C39" s="43" t="s">
        <v>341</v>
      </c>
      <c r="D39" s="43"/>
      <c r="E39" s="43"/>
      <c r="F39" s="41">
        <v>164</v>
      </c>
      <c r="G39" s="42"/>
    </row>
    <row r="40" spans="2:7" ht="14.45" customHeight="1" x14ac:dyDescent="0.2">
      <c r="B40" s="39" t="s">
        <v>344</v>
      </c>
      <c r="C40" s="43" t="s">
        <v>343</v>
      </c>
      <c r="D40" s="43"/>
      <c r="E40" s="43"/>
      <c r="F40" s="41">
        <v>164</v>
      </c>
      <c r="G40" s="42"/>
    </row>
    <row r="41" spans="2:7" ht="14.45" customHeight="1" x14ac:dyDescent="0.2">
      <c r="B41" s="39" t="s">
        <v>346</v>
      </c>
      <c r="C41" s="43" t="s">
        <v>345</v>
      </c>
      <c r="D41" s="43"/>
      <c r="E41" s="43"/>
      <c r="F41" s="41">
        <v>164</v>
      </c>
      <c r="G41" s="42"/>
    </row>
    <row r="42" spans="2:7" ht="14.45" customHeight="1" x14ac:dyDescent="0.2">
      <c r="F42" s="59"/>
      <c r="G42" s="42"/>
    </row>
    <row r="43" spans="2:7" x14ac:dyDescent="0.2">
      <c r="B43" s="36" t="s">
        <v>19</v>
      </c>
      <c r="C43" s="37"/>
      <c r="D43" s="37"/>
      <c r="E43" s="37"/>
      <c r="F43" s="38"/>
      <c r="G43" s="42"/>
    </row>
    <row r="44" spans="2:7" x14ac:dyDescent="0.2">
      <c r="B44" s="39" t="s">
        <v>347</v>
      </c>
      <c r="C44" s="60" t="s">
        <v>350</v>
      </c>
      <c r="D44" s="60"/>
      <c r="E44" s="60"/>
      <c r="F44" s="41">
        <v>630.4</v>
      </c>
      <c r="G44" s="15"/>
    </row>
    <row r="45" spans="2:7" ht="14.45" customHeight="1" x14ac:dyDescent="0.2">
      <c r="B45" s="39" t="s">
        <v>348</v>
      </c>
      <c r="C45" s="60" t="s">
        <v>352</v>
      </c>
      <c r="D45" s="60" t="s">
        <v>352</v>
      </c>
      <c r="E45" s="60" t="s">
        <v>352</v>
      </c>
      <c r="F45" s="41">
        <v>694.4</v>
      </c>
      <c r="G45" s="15"/>
    </row>
    <row r="46" spans="2:7" ht="14.45" customHeight="1" x14ac:dyDescent="0.2">
      <c r="B46" s="39" t="s">
        <v>349</v>
      </c>
      <c r="C46" s="60" t="s">
        <v>351</v>
      </c>
      <c r="D46" s="60" t="s">
        <v>351</v>
      </c>
      <c r="E46" s="60" t="s">
        <v>351</v>
      </c>
      <c r="F46" s="41">
        <v>767.2</v>
      </c>
      <c r="G46" s="15"/>
    </row>
    <row r="47" spans="2:7" ht="14.45" customHeight="1" x14ac:dyDescent="0.2">
      <c r="B47" s="39" t="s">
        <v>952</v>
      </c>
      <c r="C47" s="61" t="s">
        <v>955</v>
      </c>
      <c r="D47" s="62"/>
      <c r="E47" s="63"/>
      <c r="F47" s="41">
        <v>3202.4</v>
      </c>
      <c r="G47" s="15"/>
    </row>
    <row r="48" spans="2:7" ht="14.45" customHeight="1" x14ac:dyDescent="0.2">
      <c r="B48" s="39" t="s">
        <v>953</v>
      </c>
      <c r="C48" s="61" t="s">
        <v>956</v>
      </c>
      <c r="D48" s="62"/>
      <c r="E48" s="63"/>
      <c r="F48" s="41">
        <v>3620</v>
      </c>
      <c r="G48" s="15"/>
    </row>
    <row r="49" spans="2:7" ht="14.45" customHeight="1" x14ac:dyDescent="0.2">
      <c r="B49" s="39" t="s">
        <v>954</v>
      </c>
      <c r="C49" s="61" t="s">
        <v>957</v>
      </c>
      <c r="D49" s="62"/>
      <c r="E49" s="63"/>
      <c r="F49" s="41">
        <v>4664.8</v>
      </c>
      <c r="G49" s="15"/>
    </row>
    <row r="50" spans="2:7" x14ac:dyDescent="0.2">
      <c r="B50" s="64" t="s">
        <v>354</v>
      </c>
      <c r="C50" s="65" t="s">
        <v>20</v>
      </c>
      <c r="D50" s="66" t="s">
        <v>13</v>
      </c>
      <c r="E50" s="67" t="s">
        <v>13</v>
      </c>
      <c r="F50" s="41">
        <v>311.2</v>
      </c>
      <c r="G50" s="15"/>
    </row>
    <row r="51" spans="2:7" x14ac:dyDescent="0.2">
      <c r="B51" s="68" t="s">
        <v>353</v>
      </c>
      <c r="C51" s="65" t="s">
        <v>411</v>
      </c>
      <c r="D51" s="66" t="s">
        <v>14</v>
      </c>
      <c r="E51" s="67" t="s">
        <v>14</v>
      </c>
      <c r="F51" s="41">
        <v>420</v>
      </c>
      <c r="G51" s="15"/>
    </row>
    <row r="52" spans="2:7" x14ac:dyDescent="0.2">
      <c r="B52" s="64" t="s">
        <v>355</v>
      </c>
      <c r="C52" s="65" t="s">
        <v>21</v>
      </c>
      <c r="D52" s="66" t="s">
        <v>16</v>
      </c>
      <c r="E52" s="67" t="s">
        <v>16</v>
      </c>
      <c r="F52" s="41">
        <v>210.4</v>
      </c>
      <c r="G52" s="15"/>
    </row>
    <row r="53" spans="2:7" x14ac:dyDescent="0.2">
      <c r="B53" s="64" t="s">
        <v>356</v>
      </c>
      <c r="C53" s="65" t="s">
        <v>22</v>
      </c>
      <c r="D53" s="66" t="s">
        <v>18</v>
      </c>
      <c r="E53" s="67" t="s">
        <v>18</v>
      </c>
      <c r="F53" s="41">
        <v>210.4</v>
      </c>
      <c r="G53" s="15"/>
    </row>
    <row r="54" spans="2:7" x14ac:dyDescent="0.2">
      <c r="B54" s="69" t="s">
        <v>855</v>
      </c>
      <c r="C54" s="65" t="s">
        <v>856</v>
      </c>
      <c r="D54" s="66"/>
      <c r="E54" s="67"/>
      <c r="F54" s="70" t="s">
        <v>129</v>
      </c>
      <c r="G54" s="15"/>
    </row>
    <row r="55" spans="2:7" x14ac:dyDescent="0.2">
      <c r="B55" s="56"/>
      <c r="C55" s="57"/>
      <c r="D55" s="57"/>
      <c r="E55" s="57"/>
      <c r="F55" s="58"/>
      <c r="G55" s="15"/>
    </row>
    <row r="56" spans="2:7" x14ac:dyDescent="0.2">
      <c r="B56" s="50" t="s">
        <v>839</v>
      </c>
      <c r="C56" s="51"/>
      <c r="D56" s="51"/>
      <c r="E56" s="51"/>
      <c r="F56" s="52"/>
      <c r="G56" s="15"/>
    </row>
    <row r="57" spans="2:7" x14ac:dyDescent="0.2">
      <c r="B57" s="64" t="s">
        <v>833</v>
      </c>
      <c r="C57" s="43" t="s">
        <v>835</v>
      </c>
      <c r="D57" s="43"/>
      <c r="E57" s="43"/>
      <c r="F57" s="41">
        <v>50.4</v>
      </c>
      <c r="G57" s="15"/>
    </row>
    <row r="58" spans="2:7" x14ac:dyDescent="0.2">
      <c r="B58" s="64" t="s">
        <v>834</v>
      </c>
      <c r="C58" s="43" t="s">
        <v>836</v>
      </c>
      <c r="D58" s="43"/>
      <c r="E58" s="43"/>
      <c r="F58" s="41">
        <v>50.4</v>
      </c>
      <c r="G58" s="15"/>
    </row>
    <row r="59" spans="2:7" x14ac:dyDescent="0.2">
      <c r="B59" s="64" t="s">
        <v>837</v>
      </c>
      <c r="C59" s="43" t="s">
        <v>838</v>
      </c>
      <c r="D59" s="43"/>
      <c r="E59" s="43"/>
      <c r="F59" s="41">
        <v>50.4</v>
      </c>
      <c r="G59" s="15"/>
    </row>
    <row r="60" spans="2:7" x14ac:dyDescent="0.2">
      <c r="E60" s="71"/>
      <c r="F60" s="42"/>
      <c r="G60" s="15"/>
    </row>
    <row r="61" spans="2:7" x14ac:dyDescent="0.2">
      <c r="B61" s="36" t="s">
        <v>23</v>
      </c>
      <c r="C61" s="37"/>
      <c r="D61" s="37"/>
      <c r="E61" s="37"/>
      <c r="F61" s="38"/>
      <c r="G61" s="15"/>
    </row>
    <row r="62" spans="2:7" x14ac:dyDescent="0.2">
      <c r="B62" s="64" t="s">
        <v>24</v>
      </c>
      <c r="C62" s="65" t="s">
        <v>173</v>
      </c>
      <c r="D62" s="66"/>
      <c r="E62" s="67"/>
      <c r="F62" s="41">
        <v>1132.8</v>
      </c>
      <c r="G62" s="15"/>
    </row>
    <row r="63" spans="2:7" x14ac:dyDescent="0.2">
      <c r="B63" s="64" t="s">
        <v>705</v>
      </c>
      <c r="C63" s="65" t="s">
        <v>172</v>
      </c>
      <c r="D63" s="66" t="s">
        <v>25</v>
      </c>
      <c r="E63" s="67" t="s">
        <v>25</v>
      </c>
      <c r="F63" s="41">
        <v>685.6</v>
      </c>
      <c r="G63" s="15"/>
    </row>
    <row r="64" spans="2:7" x14ac:dyDescent="0.2">
      <c r="B64" s="64" t="s">
        <v>706</v>
      </c>
      <c r="C64" s="65" t="s">
        <v>958</v>
      </c>
      <c r="D64" s="66" t="s">
        <v>26</v>
      </c>
      <c r="E64" s="67" t="s">
        <v>26</v>
      </c>
      <c r="F64" s="41">
        <v>466.4</v>
      </c>
      <c r="G64" s="15"/>
    </row>
    <row r="65" spans="2:7" ht="15" customHeight="1" x14ac:dyDescent="0.2">
      <c r="B65" s="64" t="s">
        <v>27</v>
      </c>
      <c r="C65" s="65" t="s">
        <v>170</v>
      </c>
      <c r="D65" s="66" t="s">
        <v>28</v>
      </c>
      <c r="E65" s="67" t="s">
        <v>28</v>
      </c>
      <c r="F65" s="41">
        <v>1216</v>
      </c>
      <c r="G65" s="15"/>
    </row>
    <row r="66" spans="2:7" x14ac:dyDescent="0.2">
      <c r="B66" s="64" t="s">
        <v>707</v>
      </c>
      <c r="C66" s="65" t="s">
        <v>959</v>
      </c>
      <c r="D66" s="66" t="s">
        <v>29</v>
      </c>
      <c r="E66" s="67" t="s">
        <v>29</v>
      </c>
      <c r="F66" s="41">
        <v>1197.5999999999999</v>
      </c>
      <c r="G66" s="15"/>
    </row>
    <row r="67" spans="2:7" x14ac:dyDescent="0.2">
      <c r="E67" s="71"/>
      <c r="F67" s="42"/>
      <c r="G67" s="15"/>
    </row>
    <row r="68" spans="2:7" x14ac:dyDescent="0.2">
      <c r="B68" s="36" t="s">
        <v>30</v>
      </c>
      <c r="C68" s="37"/>
      <c r="D68" s="37"/>
      <c r="E68" s="37"/>
      <c r="F68" s="38"/>
      <c r="G68" s="15"/>
    </row>
    <row r="69" spans="2:7" x14ac:dyDescent="0.2">
      <c r="B69" s="72" t="s">
        <v>694</v>
      </c>
      <c r="C69" s="65" t="s">
        <v>697</v>
      </c>
      <c r="D69" s="66"/>
      <c r="E69" s="67"/>
      <c r="F69" s="41">
        <v>704</v>
      </c>
      <c r="G69" s="15"/>
    </row>
    <row r="70" spans="2:7" x14ac:dyDescent="0.2">
      <c r="B70" s="72" t="s">
        <v>695</v>
      </c>
      <c r="C70" s="65" t="s">
        <v>698</v>
      </c>
      <c r="D70" s="66"/>
      <c r="E70" s="67"/>
      <c r="F70" s="41">
        <v>704</v>
      </c>
      <c r="G70" s="15"/>
    </row>
    <row r="71" spans="2:7" x14ac:dyDescent="0.2">
      <c r="B71" s="72" t="s">
        <v>692</v>
      </c>
      <c r="C71" s="65" t="s">
        <v>699</v>
      </c>
      <c r="D71" s="66"/>
      <c r="E71" s="67"/>
      <c r="F71" s="41">
        <v>667.2</v>
      </c>
      <c r="G71" s="15"/>
    </row>
    <row r="72" spans="2:7" x14ac:dyDescent="0.2">
      <c r="B72" s="72" t="s">
        <v>693</v>
      </c>
      <c r="C72" s="65" t="s">
        <v>700</v>
      </c>
      <c r="D72" s="66"/>
      <c r="E72" s="67"/>
      <c r="F72" s="41">
        <v>667.2</v>
      </c>
      <c r="G72" s="15"/>
    </row>
    <row r="73" spans="2:7" x14ac:dyDescent="0.2">
      <c r="B73" s="72" t="s">
        <v>696</v>
      </c>
      <c r="C73" s="65" t="s">
        <v>31</v>
      </c>
      <c r="D73" s="66"/>
      <c r="E73" s="67"/>
      <c r="F73" s="41">
        <v>466.4</v>
      </c>
      <c r="G73" s="15"/>
    </row>
    <row r="74" spans="2:7" x14ac:dyDescent="0.2">
      <c r="B74" s="72" t="s">
        <v>701</v>
      </c>
      <c r="C74" s="65" t="s">
        <v>32</v>
      </c>
      <c r="D74" s="66" t="s">
        <v>32</v>
      </c>
      <c r="E74" s="67" t="s">
        <v>32</v>
      </c>
      <c r="F74" s="41">
        <v>26.4</v>
      </c>
      <c r="G74" s="15"/>
    </row>
    <row r="75" spans="2:7" x14ac:dyDescent="0.2">
      <c r="B75" s="72" t="s">
        <v>702</v>
      </c>
      <c r="C75" s="65" t="s">
        <v>33</v>
      </c>
      <c r="D75" s="66" t="s">
        <v>33</v>
      </c>
      <c r="E75" s="67" t="s">
        <v>33</v>
      </c>
      <c r="F75" s="41">
        <v>28.8</v>
      </c>
      <c r="G75" s="15"/>
    </row>
    <row r="76" spans="2:7" x14ac:dyDescent="0.2">
      <c r="B76" s="73" t="s">
        <v>703</v>
      </c>
      <c r="C76" s="65" t="s">
        <v>34</v>
      </c>
      <c r="D76" s="66" t="s">
        <v>34</v>
      </c>
      <c r="E76" s="67" t="s">
        <v>34</v>
      </c>
      <c r="F76" s="74">
        <v>32</v>
      </c>
      <c r="G76" s="15"/>
    </row>
    <row r="77" spans="2:7" x14ac:dyDescent="0.2">
      <c r="B77" s="64" t="s">
        <v>704</v>
      </c>
      <c r="C77" s="65" t="s">
        <v>35</v>
      </c>
      <c r="D77" s="66" t="s">
        <v>35</v>
      </c>
      <c r="E77" s="67" t="s">
        <v>35</v>
      </c>
      <c r="F77" s="41">
        <v>26.4</v>
      </c>
      <c r="G77" s="15"/>
    </row>
    <row r="78" spans="2:7" x14ac:dyDescent="0.2">
      <c r="B78" s="75"/>
      <c r="C78" s="15"/>
      <c r="D78" s="15"/>
      <c r="E78" s="15"/>
      <c r="F78" s="42"/>
      <c r="G78" s="15"/>
    </row>
    <row r="79" spans="2:7" x14ac:dyDescent="0.2">
      <c r="B79" s="36" t="s">
        <v>819</v>
      </c>
      <c r="C79" s="37"/>
      <c r="D79" s="37"/>
      <c r="E79" s="37"/>
      <c r="F79" s="38"/>
      <c r="G79" s="15"/>
    </row>
    <row r="80" spans="2:7" x14ac:dyDescent="0.2">
      <c r="B80" s="76" t="s">
        <v>769</v>
      </c>
      <c r="C80" s="65" t="s">
        <v>771</v>
      </c>
      <c r="D80" s="66"/>
      <c r="E80" s="67"/>
      <c r="F80" s="41">
        <v>950.4</v>
      </c>
      <c r="G80" s="15"/>
    </row>
    <row r="81" spans="2:7" x14ac:dyDescent="0.2">
      <c r="B81" s="77" t="s">
        <v>768</v>
      </c>
      <c r="C81" s="65" t="s">
        <v>770</v>
      </c>
      <c r="D81" s="66"/>
      <c r="E81" s="67"/>
      <c r="F81" s="41">
        <v>1708.8</v>
      </c>
      <c r="G81" s="15"/>
    </row>
    <row r="82" spans="2:7" x14ac:dyDescent="0.2">
      <c r="B82" s="76" t="s">
        <v>767</v>
      </c>
      <c r="C82" s="65" t="s">
        <v>36</v>
      </c>
      <c r="D82" s="66"/>
      <c r="E82" s="67"/>
      <c r="F82" s="41">
        <v>1179.2</v>
      </c>
      <c r="G82" s="15"/>
    </row>
    <row r="83" spans="2:7" x14ac:dyDescent="0.2">
      <c r="B83" s="76" t="s">
        <v>766</v>
      </c>
      <c r="C83" s="65" t="s">
        <v>772</v>
      </c>
      <c r="D83" s="66"/>
      <c r="E83" s="67"/>
      <c r="F83" s="41">
        <v>1644.8</v>
      </c>
      <c r="G83" s="15"/>
    </row>
    <row r="84" spans="2:7" x14ac:dyDescent="0.2">
      <c r="B84" s="78"/>
      <c r="C84" s="78"/>
      <c r="D84" s="78"/>
      <c r="E84" s="78"/>
      <c r="F84" s="79"/>
      <c r="G84" s="15"/>
    </row>
    <row r="85" spans="2:7" x14ac:dyDescent="0.2">
      <c r="B85" s="36" t="s">
        <v>41</v>
      </c>
      <c r="C85" s="37"/>
      <c r="D85" s="37"/>
      <c r="E85" s="37"/>
      <c r="F85" s="38"/>
      <c r="G85" s="15"/>
    </row>
    <row r="86" spans="2:7" x14ac:dyDescent="0.2">
      <c r="B86" s="72" t="s">
        <v>42</v>
      </c>
      <c r="C86" s="80" t="s">
        <v>43</v>
      </c>
      <c r="D86" s="81"/>
      <c r="E86" s="82"/>
      <c r="F86" s="41">
        <v>648.79999999999995</v>
      </c>
      <c r="G86" s="15"/>
    </row>
    <row r="87" spans="2:7" x14ac:dyDescent="0.2">
      <c r="B87" s="83" t="s">
        <v>44</v>
      </c>
      <c r="C87" s="80" t="s">
        <v>45</v>
      </c>
      <c r="D87" s="81"/>
      <c r="E87" s="82"/>
      <c r="F87" s="41">
        <v>796</v>
      </c>
      <c r="G87" s="15"/>
    </row>
    <row r="88" spans="2:7" x14ac:dyDescent="0.2">
      <c r="B88" s="83" t="s">
        <v>46</v>
      </c>
      <c r="C88" s="80" t="s">
        <v>815</v>
      </c>
      <c r="D88" s="81"/>
      <c r="E88" s="82"/>
      <c r="F88" s="41">
        <v>796</v>
      </c>
      <c r="G88" s="15"/>
    </row>
    <row r="89" spans="2:7" x14ac:dyDescent="0.2">
      <c r="B89" s="76" t="s">
        <v>37</v>
      </c>
      <c r="C89" s="84" t="s">
        <v>38</v>
      </c>
      <c r="D89" s="85"/>
      <c r="E89" s="86"/>
      <c r="F89" s="41">
        <v>1197.5999999999999</v>
      </c>
      <c r="G89" s="15"/>
    </row>
    <row r="90" spans="2:7" x14ac:dyDescent="0.2">
      <c r="B90" s="77" t="s">
        <v>39</v>
      </c>
      <c r="C90" s="87" t="s">
        <v>40</v>
      </c>
      <c r="D90" s="88"/>
      <c r="E90" s="88"/>
      <c r="F90" s="41">
        <v>1252</v>
      </c>
      <c r="G90" s="15"/>
    </row>
    <row r="91" spans="2:7" x14ac:dyDescent="0.2">
      <c r="B91" s="89"/>
      <c r="C91" s="90"/>
      <c r="D91" s="90"/>
      <c r="E91" s="90"/>
      <c r="F91" s="91"/>
      <c r="G91" s="15"/>
    </row>
    <row r="92" spans="2:7" x14ac:dyDescent="0.2">
      <c r="B92" s="36" t="s">
        <v>824</v>
      </c>
      <c r="C92" s="37"/>
      <c r="D92" s="37"/>
      <c r="E92" s="37"/>
      <c r="F92" s="38"/>
      <c r="G92" s="15"/>
    </row>
    <row r="93" spans="2:7" x14ac:dyDescent="0.2">
      <c r="B93" s="92" t="s">
        <v>857</v>
      </c>
      <c r="C93" s="84" t="s">
        <v>61</v>
      </c>
      <c r="D93" s="85"/>
      <c r="E93" s="86"/>
      <c r="F93" s="41">
        <v>740.8</v>
      </c>
      <c r="G93" s="15"/>
    </row>
    <row r="94" spans="2:7" x14ac:dyDescent="0.2">
      <c r="B94" s="92" t="s">
        <v>858</v>
      </c>
      <c r="C94" s="80" t="s">
        <v>62</v>
      </c>
      <c r="D94" s="81"/>
      <c r="E94" s="82"/>
      <c r="F94" s="41">
        <v>796</v>
      </c>
      <c r="G94" s="15"/>
    </row>
    <row r="95" spans="2:7" x14ac:dyDescent="0.2">
      <c r="B95" s="92" t="s">
        <v>859</v>
      </c>
      <c r="C95" s="80" t="s">
        <v>63</v>
      </c>
      <c r="D95" s="81"/>
      <c r="E95" s="82"/>
      <c r="F95" s="41">
        <v>1143.2</v>
      </c>
      <c r="G95" s="15"/>
    </row>
    <row r="96" spans="2:7" x14ac:dyDescent="0.2">
      <c r="B96" s="92" t="s">
        <v>860</v>
      </c>
      <c r="C96" s="80" t="s">
        <v>64</v>
      </c>
      <c r="D96" s="81"/>
      <c r="E96" s="82"/>
      <c r="F96" s="41">
        <v>1169.5999999999999</v>
      </c>
      <c r="G96" s="15"/>
    </row>
    <row r="97" spans="2:7" x14ac:dyDescent="0.2">
      <c r="B97" s="92" t="s">
        <v>861</v>
      </c>
      <c r="C97" s="80" t="s">
        <v>65</v>
      </c>
      <c r="D97" s="81"/>
      <c r="E97" s="82"/>
      <c r="F97" s="41">
        <v>1535.2</v>
      </c>
      <c r="G97" s="15"/>
    </row>
    <row r="98" spans="2:7" x14ac:dyDescent="0.2">
      <c r="B98" s="92" t="s">
        <v>862</v>
      </c>
      <c r="C98" s="80" t="s">
        <v>66</v>
      </c>
      <c r="D98" s="81"/>
      <c r="E98" s="82"/>
      <c r="F98" s="41">
        <v>1552.8</v>
      </c>
      <c r="G98" s="15"/>
    </row>
    <row r="99" spans="2:7" x14ac:dyDescent="0.2">
      <c r="B99" s="92" t="s">
        <v>863</v>
      </c>
      <c r="C99" s="80" t="s">
        <v>67</v>
      </c>
      <c r="D99" s="81"/>
      <c r="E99" s="82"/>
      <c r="F99" s="41">
        <v>1918.4</v>
      </c>
      <c r="G99" s="15"/>
    </row>
    <row r="100" spans="2:7" x14ac:dyDescent="0.2">
      <c r="B100" s="92" t="s">
        <v>864</v>
      </c>
      <c r="C100" s="80" t="s">
        <v>68</v>
      </c>
      <c r="D100" s="81"/>
      <c r="E100" s="82"/>
      <c r="F100" s="41">
        <v>1955.2</v>
      </c>
      <c r="G100" s="15"/>
    </row>
    <row r="101" spans="2:7" x14ac:dyDescent="0.2">
      <c r="B101" s="92" t="s">
        <v>865</v>
      </c>
      <c r="C101" s="80" t="s">
        <v>69</v>
      </c>
      <c r="D101" s="81"/>
      <c r="E101" s="82"/>
      <c r="F101" s="41">
        <v>2294.4</v>
      </c>
      <c r="G101" s="15"/>
    </row>
    <row r="102" spans="2:7" x14ac:dyDescent="0.2">
      <c r="B102" s="93" t="s">
        <v>866</v>
      </c>
      <c r="C102" s="94" t="s">
        <v>70</v>
      </c>
      <c r="D102" s="95"/>
      <c r="E102" s="96"/>
      <c r="F102" s="41">
        <v>2348.8000000000002</v>
      </c>
      <c r="G102" s="15"/>
    </row>
    <row r="103" spans="2:7" x14ac:dyDescent="0.2">
      <c r="B103" s="89"/>
      <c r="C103" s="90"/>
      <c r="D103" s="90"/>
      <c r="E103" s="90"/>
      <c r="F103" s="91"/>
      <c r="G103" s="15"/>
    </row>
    <row r="104" spans="2:7" x14ac:dyDescent="0.2">
      <c r="B104" s="97" t="s">
        <v>825</v>
      </c>
      <c r="C104" s="98"/>
      <c r="D104" s="98"/>
      <c r="E104" s="98"/>
      <c r="F104" s="99"/>
      <c r="G104" s="15"/>
    </row>
    <row r="105" spans="2:7" x14ac:dyDescent="0.2">
      <c r="B105" s="92" t="s">
        <v>867</v>
      </c>
      <c r="C105" s="80" t="s">
        <v>71</v>
      </c>
      <c r="D105" s="81"/>
      <c r="E105" s="82"/>
      <c r="F105" s="41">
        <v>1068.8</v>
      </c>
      <c r="G105" s="15"/>
    </row>
    <row r="106" spans="2:7" x14ac:dyDescent="0.2">
      <c r="B106" s="92" t="s">
        <v>868</v>
      </c>
      <c r="C106" s="80" t="s">
        <v>72</v>
      </c>
      <c r="D106" s="81"/>
      <c r="E106" s="82"/>
      <c r="F106" s="41">
        <v>1106.4000000000001</v>
      </c>
      <c r="G106" s="15"/>
    </row>
    <row r="107" spans="2:7" x14ac:dyDescent="0.2">
      <c r="B107" s="92" t="s">
        <v>869</v>
      </c>
      <c r="C107" s="80" t="s">
        <v>73</v>
      </c>
      <c r="D107" s="81"/>
      <c r="E107" s="82"/>
      <c r="F107" s="41">
        <v>1444</v>
      </c>
      <c r="G107" s="15"/>
    </row>
    <row r="108" spans="2:7" x14ac:dyDescent="0.2">
      <c r="B108" s="92" t="s">
        <v>870</v>
      </c>
      <c r="C108" s="80" t="s">
        <v>74</v>
      </c>
      <c r="D108" s="81"/>
      <c r="E108" s="82"/>
      <c r="F108" s="41">
        <v>1498.4</v>
      </c>
      <c r="G108" s="15"/>
    </row>
    <row r="109" spans="2:7" x14ac:dyDescent="0.2">
      <c r="B109" s="92" t="s">
        <v>871</v>
      </c>
      <c r="C109" s="80" t="s">
        <v>75</v>
      </c>
      <c r="D109" s="81"/>
      <c r="E109" s="82"/>
      <c r="F109" s="41">
        <v>2576.8000000000002</v>
      </c>
      <c r="G109" s="15"/>
    </row>
    <row r="110" spans="2:7" x14ac:dyDescent="0.2">
      <c r="B110" s="92" t="s">
        <v>872</v>
      </c>
      <c r="C110" s="80" t="s">
        <v>76</v>
      </c>
      <c r="D110" s="81"/>
      <c r="E110" s="82"/>
      <c r="F110" s="41">
        <v>2613.6</v>
      </c>
      <c r="G110" s="15"/>
    </row>
    <row r="111" spans="2:7" x14ac:dyDescent="0.2">
      <c r="B111" s="92" t="s">
        <v>873</v>
      </c>
      <c r="C111" s="80" t="s">
        <v>77</v>
      </c>
      <c r="D111" s="81"/>
      <c r="E111" s="82"/>
      <c r="F111" s="41">
        <v>2760</v>
      </c>
      <c r="G111" s="15"/>
    </row>
    <row r="112" spans="2:7" x14ac:dyDescent="0.2">
      <c r="B112" s="89"/>
      <c r="C112" s="90"/>
      <c r="D112" s="90"/>
      <c r="E112" s="90"/>
      <c r="F112" s="91"/>
      <c r="G112" s="15"/>
    </row>
    <row r="113" spans="2:7" x14ac:dyDescent="0.2">
      <c r="B113" s="36" t="s">
        <v>401</v>
      </c>
      <c r="C113" s="37"/>
      <c r="D113" s="37"/>
      <c r="E113" s="37"/>
      <c r="F113" s="38"/>
      <c r="G113" s="15"/>
    </row>
    <row r="114" spans="2:7" x14ac:dyDescent="0.2">
      <c r="B114" s="100" t="s">
        <v>821</v>
      </c>
      <c r="C114" s="101"/>
      <c r="D114" s="102"/>
      <c r="E114" s="103"/>
      <c r="F114" s="41"/>
      <c r="G114" s="15"/>
    </row>
    <row r="115" spans="2:7" x14ac:dyDescent="0.2">
      <c r="B115" s="104" t="s">
        <v>357</v>
      </c>
      <c r="C115" s="80" t="s">
        <v>379</v>
      </c>
      <c r="D115" s="81"/>
      <c r="E115" s="82"/>
      <c r="F115" s="41">
        <v>960</v>
      </c>
      <c r="G115" s="15"/>
    </row>
    <row r="116" spans="2:7" x14ac:dyDescent="0.2">
      <c r="B116" s="104" t="s">
        <v>358</v>
      </c>
      <c r="C116" s="80" t="s">
        <v>380</v>
      </c>
      <c r="D116" s="81"/>
      <c r="E116" s="82"/>
      <c r="F116" s="41">
        <v>1288.8</v>
      </c>
      <c r="G116" s="15"/>
    </row>
    <row r="117" spans="2:7" x14ac:dyDescent="0.2">
      <c r="B117" s="104" t="s">
        <v>359</v>
      </c>
      <c r="C117" s="80" t="s">
        <v>381</v>
      </c>
      <c r="D117" s="81"/>
      <c r="E117" s="82"/>
      <c r="F117" s="41">
        <v>1599.2</v>
      </c>
      <c r="G117" s="15"/>
    </row>
    <row r="118" spans="2:7" x14ac:dyDescent="0.2">
      <c r="B118" s="104" t="s">
        <v>360</v>
      </c>
      <c r="C118" s="80" t="s">
        <v>382</v>
      </c>
      <c r="D118" s="81"/>
      <c r="E118" s="82"/>
      <c r="F118" s="41">
        <v>1928.8</v>
      </c>
      <c r="G118" s="15"/>
    </row>
    <row r="119" spans="2:7" x14ac:dyDescent="0.2">
      <c r="B119" s="104" t="s">
        <v>361</v>
      </c>
      <c r="C119" s="80" t="s">
        <v>383</v>
      </c>
      <c r="D119" s="81"/>
      <c r="E119" s="82"/>
      <c r="F119" s="41">
        <v>2248</v>
      </c>
      <c r="G119" s="15"/>
    </row>
    <row r="120" spans="2:7" x14ac:dyDescent="0.2">
      <c r="B120" s="104" t="s">
        <v>362</v>
      </c>
      <c r="C120" s="80" t="s">
        <v>384</v>
      </c>
      <c r="D120" s="81"/>
      <c r="E120" s="82"/>
      <c r="F120" s="41">
        <v>2568.8000000000002</v>
      </c>
      <c r="G120" s="15"/>
    </row>
    <row r="121" spans="2:7" x14ac:dyDescent="0.2">
      <c r="B121" s="104" t="s">
        <v>363</v>
      </c>
      <c r="C121" s="80" t="s">
        <v>385</v>
      </c>
      <c r="D121" s="81"/>
      <c r="E121" s="82"/>
      <c r="F121" s="41">
        <v>2905.6</v>
      </c>
      <c r="G121" s="15"/>
    </row>
    <row r="122" spans="2:7" x14ac:dyDescent="0.2">
      <c r="B122" s="104" t="s">
        <v>364</v>
      </c>
      <c r="C122" s="80" t="s">
        <v>386</v>
      </c>
      <c r="D122" s="81"/>
      <c r="E122" s="82"/>
      <c r="F122" s="41">
        <v>3216.8</v>
      </c>
      <c r="G122" s="15"/>
    </row>
    <row r="123" spans="2:7" x14ac:dyDescent="0.2">
      <c r="B123" s="104" t="s">
        <v>365</v>
      </c>
      <c r="C123" s="80" t="s">
        <v>387</v>
      </c>
      <c r="D123" s="81"/>
      <c r="E123" s="82"/>
      <c r="F123" s="41">
        <v>3838.4</v>
      </c>
      <c r="G123" s="15"/>
    </row>
    <row r="124" spans="2:7" x14ac:dyDescent="0.2">
      <c r="B124" s="104" t="s">
        <v>366</v>
      </c>
      <c r="C124" s="80" t="s">
        <v>388</v>
      </c>
      <c r="D124" s="81"/>
      <c r="E124" s="82"/>
      <c r="F124" s="41">
        <v>3874.4</v>
      </c>
      <c r="G124" s="15"/>
    </row>
    <row r="125" spans="2:7" x14ac:dyDescent="0.2">
      <c r="B125" s="104" t="s">
        <v>367</v>
      </c>
      <c r="C125" s="80" t="s">
        <v>389</v>
      </c>
      <c r="D125" s="81"/>
      <c r="E125" s="82"/>
      <c r="F125" s="41">
        <v>4204</v>
      </c>
      <c r="G125" s="15"/>
    </row>
    <row r="126" spans="2:7" x14ac:dyDescent="0.2">
      <c r="B126" s="104" t="s">
        <v>368</v>
      </c>
      <c r="C126" s="80" t="s">
        <v>390</v>
      </c>
      <c r="D126" s="81"/>
      <c r="E126" s="82"/>
      <c r="F126" s="41">
        <v>4523.2</v>
      </c>
      <c r="G126" s="15"/>
    </row>
    <row r="127" spans="2:7" x14ac:dyDescent="0.2">
      <c r="B127" s="104" t="s">
        <v>369</v>
      </c>
      <c r="C127" s="80" t="s">
        <v>391</v>
      </c>
      <c r="D127" s="81"/>
      <c r="E127" s="82"/>
      <c r="F127" s="41">
        <v>4842.3999999999996</v>
      </c>
      <c r="G127" s="15"/>
    </row>
    <row r="128" spans="2:7" x14ac:dyDescent="0.2">
      <c r="B128" s="104" t="s">
        <v>370</v>
      </c>
      <c r="C128" s="80" t="s">
        <v>392</v>
      </c>
      <c r="D128" s="81"/>
      <c r="E128" s="82"/>
      <c r="F128" s="41">
        <v>5172</v>
      </c>
      <c r="G128" s="15"/>
    </row>
    <row r="129" spans="2:7" x14ac:dyDescent="0.2">
      <c r="B129" s="104" t="s">
        <v>371</v>
      </c>
      <c r="C129" s="80" t="s">
        <v>393</v>
      </c>
      <c r="D129" s="81"/>
      <c r="E129" s="82"/>
      <c r="F129" s="41">
        <v>5500.8</v>
      </c>
      <c r="G129" s="15"/>
    </row>
    <row r="130" spans="2:7" x14ac:dyDescent="0.2">
      <c r="B130" s="104" t="s">
        <v>372</v>
      </c>
      <c r="C130" s="80" t="s">
        <v>394</v>
      </c>
      <c r="D130" s="81"/>
      <c r="E130" s="82"/>
      <c r="F130" s="41">
        <v>5820.8</v>
      </c>
      <c r="G130" s="15"/>
    </row>
    <row r="131" spans="2:7" x14ac:dyDescent="0.2">
      <c r="B131" s="104" t="s">
        <v>373</v>
      </c>
      <c r="C131" s="80" t="s">
        <v>395</v>
      </c>
      <c r="D131" s="81"/>
      <c r="E131" s="82"/>
      <c r="F131" s="41">
        <v>6149.6</v>
      </c>
      <c r="G131" s="15"/>
    </row>
    <row r="132" spans="2:7" x14ac:dyDescent="0.2">
      <c r="B132" s="104" t="s">
        <v>374</v>
      </c>
      <c r="C132" s="80" t="s">
        <v>396</v>
      </c>
      <c r="D132" s="81"/>
      <c r="E132" s="82"/>
      <c r="F132" s="41">
        <v>6469.6</v>
      </c>
      <c r="G132" s="15"/>
    </row>
    <row r="133" spans="2:7" x14ac:dyDescent="0.2">
      <c r="B133" s="104" t="s">
        <v>375</v>
      </c>
      <c r="C133" s="80" t="s">
        <v>397</v>
      </c>
      <c r="D133" s="81"/>
      <c r="E133" s="82"/>
      <c r="F133" s="41">
        <v>6798.4</v>
      </c>
      <c r="G133" s="15"/>
    </row>
    <row r="134" spans="2:7" x14ac:dyDescent="0.2">
      <c r="B134" s="104" t="s">
        <v>376</v>
      </c>
      <c r="C134" s="80" t="s">
        <v>398</v>
      </c>
      <c r="D134" s="81"/>
      <c r="E134" s="82"/>
      <c r="F134" s="41">
        <v>7118.4</v>
      </c>
      <c r="G134" s="15"/>
    </row>
    <row r="135" spans="2:7" x14ac:dyDescent="0.2">
      <c r="B135" s="104" t="s">
        <v>377</v>
      </c>
      <c r="C135" s="80" t="s">
        <v>399</v>
      </c>
      <c r="D135" s="81"/>
      <c r="E135" s="82"/>
      <c r="F135" s="41">
        <v>7447.2</v>
      </c>
      <c r="G135" s="15"/>
    </row>
    <row r="136" spans="2:7" x14ac:dyDescent="0.2">
      <c r="B136" s="105" t="s">
        <v>378</v>
      </c>
      <c r="C136" s="80" t="s">
        <v>400</v>
      </c>
      <c r="D136" s="81"/>
      <c r="E136" s="82"/>
      <c r="F136" s="74">
        <v>7766.4</v>
      </c>
      <c r="G136" s="15"/>
    </row>
    <row r="137" spans="2:7" x14ac:dyDescent="0.2">
      <c r="B137" s="56"/>
      <c r="C137" s="106"/>
      <c r="D137" s="106"/>
      <c r="E137" s="106"/>
      <c r="F137" s="58"/>
      <c r="G137" s="15"/>
    </row>
    <row r="138" spans="2:7" x14ac:dyDescent="0.2">
      <c r="B138" s="107" t="s">
        <v>822</v>
      </c>
      <c r="C138" s="108"/>
      <c r="D138" s="108"/>
      <c r="E138" s="108"/>
      <c r="F138" s="52"/>
      <c r="G138" s="15"/>
    </row>
    <row r="139" spans="2:7" x14ac:dyDescent="0.2">
      <c r="B139" s="104" t="s">
        <v>569</v>
      </c>
      <c r="C139" s="65" t="s">
        <v>635</v>
      </c>
      <c r="D139" s="66"/>
      <c r="E139" s="67"/>
      <c r="F139" s="55">
        <v>1220.8</v>
      </c>
      <c r="G139" s="15"/>
    </row>
    <row r="140" spans="2:7" x14ac:dyDescent="0.2">
      <c r="B140" s="104" t="s">
        <v>570</v>
      </c>
      <c r="C140" s="65" t="s">
        <v>636</v>
      </c>
      <c r="D140" s="66"/>
      <c r="E140" s="67"/>
      <c r="F140" s="41">
        <v>1549.6</v>
      </c>
      <c r="G140" s="15"/>
    </row>
    <row r="141" spans="2:7" x14ac:dyDescent="0.2">
      <c r="B141" s="104" t="s">
        <v>571</v>
      </c>
      <c r="C141" s="65" t="s">
        <v>637</v>
      </c>
      <c r="D141" s="66"/>
      <c r="E141" s="67"/>
      <c r="F141" s="41">
        <v>1860.8</v>
      </c>
      <c r="G141" s="15"/>
    </row>
    <row r="142" spans="2:7" x14ac:dyDescent="0.2">
      <c r="B142" s="104" t="s">
        <v>572</v>
      </c>
      <c r="C142" s="65" t="s">
        <v>638</v>
      </c>
      <c r="D142" s="66"/>
      <c r="E142" s="67"/>
      <c r="F142" s="41">
        <v>2189.6</v>
      </c>
      <c r="G142" s="15"/>
    </row>
    <row r="143" spans="2:7" x14ac:dyDescent="0.2">
      <c r="B143" s="104" t="s">
        <v>573</v>
      </c>
      <c r="C143" s="65" t="s">
        <v>639</v>
      </c>
      <c r="D143" s="66"/>
      <c r="E143" s="67"/>
      <c r="F143" s="41">
        <v>2508.8000000000002</v>
      </c>
      <c r="G143" s="15"/>
    </row>
    <row r="144" spans="2:7" x14ac:dyDescent="0.2">
      <c r="B144" s="104" t="s">
        <v>574</v>
      </c>
      <c r="C144" s="65" t="s">
        <v>640</v>
      </c>
      <c r="D144" s="66"/>
      <c r="E144" s="67"/>
      <c r="F144" s="41">
        <v>2829.6</v>
      </c>
      <c r="G144" s="15"/>
    </row>
    <row r="145" spans="2:7" x14ac:dyDescent="0.2">
      <c r="B145" s="104" t="s">
        <v>575</v>
      </c>
      <c r="C145" s="65" t="s">
        <v>641</v>
      </c>
      <c r="D145" s="66"/>
      <c r="E145" s="67"/>
      <c r="F145" s="41">
        <v>3167.2</v>
      </c>
      <c r="G145" s="15"/>
    </row>
    <row r="146" spans="2:7" x14ac:dyDescent="0.2">
      <c r="B146" s="104" t="s">
        <v>576</v>
      </c>
      <c r="C146" s="65" t="s">
        <v>642</v>
      </c>
      <c r="D146" s="66"/>
      <c r="E146" s="67"/>
      <c r="F146" s="41">
        <v>3477.6</v>
      </c>
      <c r="G146" s="15"/>
    </row>
    <row r="147" spans="2:7" x14ac:dyDescent="0.2">
      <c r="B147" s="104" t="s">
        <v>577</v>
      </c>
      <c r="C147" s="65" t="s">
        <v>643</v>
      </c>
      <c r="D147" s="66"/>
      <c r="E147" s="67"/>
      <c r="F147" s="41">
        <v>4447.2</v>
      </c>
      <c r="G147" s="15"/>
    </row>
    <row r="148" spans="2:7" x14ac:dyDescent="0.2">
      <c r="B148" s="104" t="s">
        <v>578</v>
      </c>
      <c r="C148" s="65" t="s">
        <v>644</v>
      </c>
      <c r="D148" s="66"/>
      <c r="E148" s="67"/>
      <c r="F148" s="41">
        <v>4484</v>
      </c>
      <c r="G148" s="15"/>
    </row>
    <row r="149" spans="2:7" x14ac:dyDescent="0.2">
      <c r="B149" s="104" t="s">
        <v>579</v>
      </c>
      <c r="C149" s="65" t="s">
        <v>645</v>
      </c>
      <c r="D149" s="66"/>
      <c r="E149" s="67"/>
      <c r="F149" s="41">
        <v>4812.8</v>
      </c>
      <c r="G149" s="15"/>
    </row>
    <row r="150" spans="2:7" x14ac:dyDescent="0.2">
      <c r="B150" s="104" t="s">
        <v>580</v>
      </c>
      <c r="C150" s="65" t="s">
        <v>646</v>
      </c>
      <c r="D150" s="66"/>
      <c r="E150" s="67"/>
      <c r="F150" s="41">
        <v>5132.8</v>
      </c>
      <c r="G150" s="15"/>
    </row>
    <row r="151" spans="2:7" x14ac:dyDescent="0.2">
      <c r="B151" s="104" t="s">
        <v>581</v>
      </c>
      <c r="C151" s="65" t="s">
        <v>647</v>
      </c>
      <c r="D151" s="66"/>
      <c r="E151" s="67"/>
      <c r="F151" s="41">
        <v>5452</v>
      </c>
      <c r="G151" s="15"/>
    </row>
    <row r="152" spans="2:7" x14ac:dyDescent="0.2">
      <c r="B152" s="104" t="s">
        <v>582</v>
      </c>
      <c r="C152" s="65" t="s">
        <v>648</v>
      </c>
      <c r="D152" s="66"/>
      <c r="E152" s="67"/>
      <c r="F152" s="41">
        <v>5780.8</v>
      </c>
      <c r="G152" s="15"/>
    </row>
    <row r="153" spans="2:7" x14ac:dyDescent="0.2">
      <c r="B153" s="104" t="s">
        <v>583</v>
      </c>
      <c r="C153" s="65" t="s">
        <v>649</v>
      </c>
      <c r="D153" s="66"/>
      <c r="E153" s="67"/>
      <c r="F153" s="41">
        <v>6109.6</v>
      </c>
      <c r="G153" s="15"/>
    </row>
    <row r="154" spans="2:7" x14ac:dyDescent="0.2">
      <c r="B154" s="104" t="s">
        <v>584</v>
      </c>
      <c r="C154" s="65" t="s">
        <v>650</v>
      </c>
      <c r="D154" s="66"/>
      <c r="E154" s="67"/>
      <c r="F154" s="41">
        <v>6429.6</v>
      </c>
      <c r="G154" s="15"/>
    </row>
    <row r="155" spans="2:7" x14ac:dyDescent="0.2">
      <c r="B155" s="104" t="s">
        <v>585</v>
      </c>
      <c r="C155" s="65" t="s">
        <v>651</v>
      </c>
      <c r="D155" s="66"/>
      <c r="E155" s="67"/>
      <c r="F155" s="41">
        <v>6759.2</v>
      </c>
      <c r="G155" s="15"/>
    </row>
    <row r="156" spans="2:7" x14ac:dyDescent="0.2">
      <c r="B156" s="104" t="s">
        <v>586</v>
      </c>
      <c r="C156" s="65" t="s">
        <v>652</v>
      </c>
      <c r="D156" s="66"/>
      <c r="E156" s="67"/>
      <c r="F156" s="41">
        <v>7078.4</v>
      </c>
      <c r="G156" s="15"/>
    </row>
    <row r="157" spans="2:7" x14ac:dyDescent="0.2">
      <c r="B157" s="104" t="s">
        <v>587</v>
      </c>
      <c r="C157" s="65" t="s">
        <v>653</v>
      </c>
      <c r="D157" s="66"/>
      <c r="E157" s="67"/>
      <c r="F157" s="41">
        <v>7408</v>
      </c>
      <c r="G157" s="15"/>
    </row>
    <row r="158" spans="2:7" x14ac:dyDescent="0.2">
      <c r="B158" s="104" t="s">
        <v>588</v>
      </c>
      <c r="C158" s="65" t="s">
        <v>654</v>
      </c>
      <c r="D158" s="66"/>
      <c r="E158" s="67"/>
      <c r="F158" s="41">
        <v>7728</v>
      </c>
      <c r="G158" s="15"/>
    </row>
    <row r="159" spans="2:7" x14ac:dyDescent="0.2">
      <c r="B159" s="104" t="s">
        <v>589</v>
      </c>
      <c r="C159" s="65" t="s">
        <v>655</v>
      </c>
      <c r="D159" s="66"/>
      <c r="E159" s="67"/>
      <c r="F159" s="41">
        <v>8056.8</v>
      </c>
      <c r="G159" s="15"/>
    </row>
    <row r="160" spans="2:7" x14ac:dyDescent="0.2">
      <c r="B160" s="104" t="s">
        <v>590</v>
      </c>
      <c r="C160" s="65" t="s">
        <v>656</v>
      </c>
      <c r="D160" s="66"/>
      <c r="E160" s="67"/>
      <c r="F160" s="41">
        <v>8376</v>
      </c>
      <c r="G160" s="15"/>
    </row>
    <row r="161" spans="2:7" x14ac:dyDescent="0.2">
      <c r="B161" s="56"/>
      <c r="C161" s="106"/>
      <c r="D161" s="106"/>
      <c r="E161" s="106"/>
      <c r="F161" s="58"/>
      <c r="G161" s="15"/>
    </row>
    <row r="162" spans="2:7" x14ac:dyDescent="0.2">
      <c r="B162" s="107" t="s">
        <v>823</v>
      </c>
      <c r="C162" s="108"/>
      <c r="D162" s="108"/>
      <c r="E162" s="108"/>
      <c r="F162" s="52"/>
      <c r="G162" s="15"/>
    </row>
    <row r="163" spans="2:7" x14ac:dyDescent="0.2">
      <c r="B163" s="104" t="s">
        <v>591</v>
      </c>
      <c r="C163" s="65" t="s">
        <v>613</v>
      </c>
      <c r="D163" s="66"/>
      <c r="E163" s="67"/>
      <c r="F163" s="41">
        <v>1829.6</v>
      </c>
      <c r="G163" s="15"/>
    </row>
    <row r="164" spans="2:7" x14ac:dyDescent="0.2">
      <c r="B164" s="104" t="s">
        <v>592</v>
      </c>
      <c r="C164" s="65" t="s">
        <v>614</v>
      </c>
      <c r="D164" s="66"/>
      <c r="E164" s="67"/>
      <c r="F164" s="41">
        <v>2159.1999999999998</v>
      </c>
      <c r="G164" s="15"/>
    </row>
    <row r="165" spans="2:7" x14ac:dyDescent="0.2">
      <c r="B165" s="104" t="s">
        <v>593</v>
      </c>
      <c r="C165" s="65" t="s">
        <v>615</v>
      </c>
      <c r="D165" s="66"/>
      <c r="E165" s="67"/>
      <c r="F165" s="41">
        <v>2469.6</v>
      </c>
      <c r="G165" s="15"/>
    </row>
    <row r="166" spans="2:7" x14ac:dyDescent="0.2">
      <c r="B166" s="104" t="s">
        <v>594</v>
      </c>
      <c r="C166" s="65" t="s">
        <v>616</v>
      </c>
      <c r="D166" s="66"/>
      <c r="E166" s="67"/>
      <c r="F166" s="41">
        <v>2799.2</v>
      </c>
      <c r="G166" s="15"/>
    </row>
    <row r="167" spans="2:7" x14ac:dyDescent="0.2">
      <c r="B167" s="104" t="s">
        <v>595</v>
      </c>
      <c r="C167" s="65" t="s">
        <v>617</v>
      </c>
      <c r="D167" s="66"/>
      <c r="E167" s="67"/>
      <c r="F167" s="41">
        <v>3117.6</v>
      </c>
      <c r="G167" s="15"/>
    </row>
    <row r="168" spans="2:7" x14ac:dyDescent="0.2">
      <c r="B168" s="104" t="s">
        <v>596</v>
      </c>
      <c r="C168" s="65" t="s">
        <v>618</v>
      </c>
      <c r="D168" s="66"/>
      <c r="E168" s="67"/>
      <c r="F168" s="41">
        <v>3438.4</v>
      </c>
      <c r="G168" s="15"/>
    </row>
    <row r="169" spans="2:7" x14ac:dyDescent="0.2">
      <c r="B169" s="104" t="s">
        <v>597</v>
      </c>
      <c r="C169" s="65" t="s">
        <v>619</v>
      </c>
      <c r="D169" s="66"/>
      <c r="E169" s="67"/>
      <c r="F169" s="41">
        <v>3776</v>
      </c>
      <c r="G169" s="15"/>
    </row>
    <row r="170" spans="2:7" x14ac:dyDescent="0.2">
      <c r="B170" s="104" t="s">
        <v>598</v>
      </c>
      <c r="C170" s="65" t="s">
        <v>620</v>
      </c>
      <c r="D170" s="66"/>
      <c r="E170" s="67"/>
      <c r="F170" s="41">
        <v>4087.2</v>
      </c>
      <c r="G170" s="15"/>
    </row>
    <row r="171" spans="2:7" x14ac:dyDescent="0.2">
      <c r="B171" s="104" t="s">
        <v>599</v>
      </c>
      <c r="C171" s="65" t="s">
        <v>621</v>
      </c>
      <c r="D171" s="66"/>
      <c r="E171" s="67"/>
      <c r="F171" s="41">
        <v>5578.4</v>
      </c>
      <c r="G171" s="15"/>
    </row>
    <row r="172" spans="2:7" x14ac:dyDescent="0.2">
      <c r="B172" s="104" t="s">
        <v>600</v>
      </c>
      <c r="C172" s="65" t="s">
        <v>622</v>
      </c>
      <c r="D172" s="66"/>
      <c r="E172" s="67"/>
      <c r="F172" s="41">
        <v>5615.2</v>
      </c>
      <c r="G172" s="15"/>
    </row>
    <row r="173" spans="2:7" x14ac:dyDescent="0.2">
      <c r="B173" s="104" t="s">
        <v>601</v>
      </c>
      <c r="C173" s="65" t="s">
        <v>623</v>
      </c>
      <c r="D173" s="66"/>
      <c r="E173" s="67"/>
      <c r="F173" s="41">
        <v>5944</v>
      </c>
      <c r="G173" s="15"/>
    </row>
    <row r="174" spans="2:7" x14ac:dyDescent="0.2">
      <c r="B174" s="104" t="s">
        <v>602</v>
      </c>
      <c r="C174" s="65" t="s">
        <v>624</v>
      </c>
      <c r="D174" s="66"/>
      <c r="E174" s="67"/>
      <c r="F174" s="41">
        <v>6264</v>
      </c>
      <c r="G174" s="15"/>
    </row>
    <row r="175" spans="2:7" x14ac:dyDescent="0.2">
      <c r="B175" s="104" t="s">
        <v>603</v>
      </c>
      <c r="C175" s="65" t="s">
        <v>625</v>
      </c>
      <c r="D175" s="66"/>
      <c r="E175" s="67"/>
      <c r="F175" s="41">
        <v>6583.2</v>
      </c>
      <c r="G175" s="15"/>
    </row>
    <row r="176" spans="2:7" x14ac:dyDescent="0.2">
      <c r="B176" s="104" t="s">
        <v>604</v>
      </c>
      <c r="C176" s="65" t="s">
        <v>626</v>
      </c>
      <c r="D176" s="66"/>
      <c r="E176" s="67"/>
      <c r="F176" s="41">
        <v>6912</v>
      </c>
      <c r="G176" s="15"/>
    </row>
    <row r="177" spans="2:7" x14ac:dyDescent="0.2">
      <c r="B177" s="104" t="s">
        <v>605</v>
      </c>
      <c r="C177" s="65" t="s">
        <v>627</v>
      </c>
      <c r="D177" s="66"/>
      <c r="E177" s="67"/>
      <c r="F177" s="41">
        <v>7241.6</v>
      </c>
      <c r="G177" s="15"/>
    </row>
    <row r="178" spans="2:7" x14ac:dyDescent="0.2">
      <c r="B178" s="104" t="s">
        <v>606</v>
      </c>
      <c r="C178" s="65" t="s">
        <v>628</v>
      </c>
      <c r="D178" s="66"/>
      <c r="E178" s="67"/>
      <c r="F178" s="41">
        <v>7560.8</v>
      </c>
      <c r="G178" s="15"/>
    </row>
    <row r="179" spans="2:7" x14ac:dyDescent="0.2">
      <c r="B179" s="104" t="s">
        <v>607</v>
      </c>
      <c r="C179" s="65" t="s">
        <v>629</v>
      </c>
      <c r="D179" s="66"/>
      <c r="E179" s="67"/>
      <c r="F179" s="41">
        <v>7890.4</v>
      </c>
      <c r="G179" s="15"/>
    </row>
    <row r="180" spans="2:7" x14ac:dyDescent="0.2">
      <c r="B180" s="104" t="s">
        <v>608</v>
      </c>
      <c r="C180" s="65" t="s">
        <v>630</v>
      </c>
      <c r="D180" s="66"/>
      <c r="E180" s="67"/>
      <c r="F180" s="41">
        <v>8210.4</v>
      </c>
      <c r="G180" s="15"/>
    </row>
    <row r="181" spans="2:7" x14ac:dyDescent="0.2">
      <c r="B181" s="104" t="s">
        <v>609</v>
      </c>
      <c r="C181" s="65" t="s">
        <v>631</v>
      </c>
      <c r="D181" s="66"/>
      <c r="E181" s="67"/>
      <c r="F181" s="41">
        <v>8539.2000000000007</v>
      </c>
      <c r="G181" s="15"/>
    </row>
    <row r="182" spans="2:7" x14ac:dyDescent="0.2">
      <c r="B182" s="104" t="s">
        <v>610</v>
      </c>
      <c r="C182" s="65" t="s">
        <v>632</v>
      </c>
      <c r="D182" s="66"/>
      <c r="E182" s="67"/>
      <c r="F182" s="41">
        <v>8859.2000000000007</v>
      </c>
      <c r="G182" s="15"/>
    </row>
    <row r="183" spans="2:7" x14ac:dyDescent="0.2">
      <c r="B183" s="104" t="s">
        <v>611</v>
      </c>
      <c r="C183" s="65" t="s">
        <v>633</v>
      </c>
      <c r="D183" s="66"/>
      <c r="E183" s="67"/>
      <c r="F183" s="41">
        <v>9188</v>
      </c>
      <c r="G183" s="15"/>
    </row>
    <row r="184" spans="2:7" x14ac:dyDescent="0.2">
      <c r="B184" s="104" t="s">
        <v>612</v>
      </c>
      <c r="C184" s="65" t="s">
        <v>634</v>
      </c>
      <c r="D184" s="66"/>
      <c r="E184" s="67"/>
      <c r="F184" s="41">
        <v>9507.2000000000007</v>
      </c>
      <c r="G184" s="15"/>
    </row>
    <row r="185" spans="2:7" x14ac:dyDescent="0.2">
      <c r="B185" s="109"/>
      <c r="C185" s="15"/>
      <c r="D185" s="15"/>
      <c r="E185" s="15"/>
      <c r="F185" s="91"/>
      <c r="G185" s="15"/>
    </row>
    <row r="186" spans="2:7" x14ac:dyDescent="0.2">
      <c r="B186" s="36" t="s">
        <v>827</v>
      </c>
      <c r="C186" s="37"/>
      <c r="D186" s="37"/>
      <c r="E186" s="37"/>
      <c r="F186" s="38"/>
      <c r="G186" s="15"/>
    </row>
    <row r="187" spans="2:7" x14ac:dyDescent="0.2">
      <c r="B187" s="64" t="s">
        <v>951</v>
      </c>
      <c r="C187" s="65" t="s">
        <v>950</v>
      </c>
      <c r="D187" s="66"/>
      <c r="E187" s="67"/>
      <c r="F187" s="70" t="s">
        <v>129</v>
      </c>
      <c r="G187" s="15"/>
    </row>
    <row r="188" spans="2:7" x14ac:dyDescent="0.2">
      <c r="B188" s="64" t="s">
        <v>832</v>
      </c>
      <c r="C188" s="65" t="s">
        <v>831</v>
      </c>
      <c r="D188" s="66"/>
      <c r="E188" s="67"/>
      <c r="F188" s="70" t="s">
        <v>129</v>
      </c>
      <c r="G188" s="15"/>
    </row>
    <row r="189" spans="2:7" ht="15" x14ac:dyDescent="0.25">
      <c r="B189" s="5"/>
      <c r="C189" s="15"/>
      <c r="D189" s="15"/>
      <c r="E189" s="15"/>
      <c r="F189" s="91"/>
      <c r="G189" s="15"/>
    </row>
    <row r="190" spans="2:7" x14ac:dyDescent="0.2">
      <c r="B190" s="36" t="s">
        <v>47</v>
      </c>
      <c r="C190" s="37"/>
      <c r="D190" s="37"/>
      <c r="E190" s="37"/>
      <c r="F190" s="38"/>
      <c r="G190" s="15"/>
    </row>
    <row r="191" spans="2:7" x14ac:dyDescent="0.2">
      <c r="B191" s="104" t="s">
        <v>48</v>
      </c>
      <c r="C191" s="84" t="s">
        <v>49</v>
      </c>
      <c r="D191" s="85"/>
      <c r="E191" s="86"/>
      <c r="F191" s="41">
        <v>36</v>
      </c>
      <c r="G191" s="15"/>
    </row>
    <row r="192" spans="2:7" x14ac:dyDescent="0.2">
      <c r="B192" s="104" t="s">
        <v>50</v>
      </c>
      <c r="C192" s="84" t="s">
        <v>51</v>
      </c>
      <c r="D192" s="85"/>
      <c r="E192" s="86"/>
      <c r="F192" s="41">
        <v>44.8</v>
      </c>
      <c r="G192" s="15"/>
    </row>
    <row r="193" spans="2:7" x14ac:dyDescent="0.2">
      <c r="B193" s="104" t="s">
        <v>52</v>
      </c>
      <c r="C193" s="84" t="s">
        <v>816</v>
      </c>
      <c r="D193" s="85"/>
      <c r="E193" s="86"/>
      <c r="F193" s="41">
        <v>36</v>
      </c>
      <c r="G193" s="15"/>
    </row>
    <row r="194" spans="2:7" x14ac:dyDescent="0.2">
      <c r="B194" s="104" t="s">
        <v>840</v>
      </c>
      <c r="C194" s="84" t="s">
        <v>175</v>
      </c>
      <c r="D194" s="85"/>
      <c r="E194" s="86"/>
      <c r="F194" s="41">
        <v>7.2</v>
      </c>
      <c r="G194" s="15"/>
    </row>
    <row r="195" spans="2:7" x14ac:dyDescent="0.2">
      <c r="B195" s="104" t="s">
        <v>960</v>
      </c>
      <c r="C195" s="110" t="s">
        <v>961</v>
      </c>
      <c r="D195" s="111"/>
      <c r="E195" s="112"/>
      <c r="F195" s="41">
        <v>44.8</v>
      </c>
      <c r="G195" s="15"/>
    </row>
    <row r="196" spans="2:7" x14ac:dyDescent="0.2">
      <c r="B196" s="104" t="s">
        <v>163</v>
      </c>
      <c r="C196" s="84" t="s">
        <v>53</v>
      </c>
      <c r="D196" s="85"/>
      <c r="E196" s="86"/>
      <c r="F196" s="41">
        <v>44.8</v>
      </c>
      <c r="G196" s="15"/>
    </row>
    <row r="197" spans="2:7" x14ac:dyDescent="0.2">
      <c r="B197" s="104" t="s">
        <v>54</v>
      </c>
      <c r="C197" s="84" t="s">
        <v>176</v>
      </c>
      <c r="D197" s="85"/>
      <c r="E197" s="86"/>
      <c r="F197" s="41">
        <v>301.60000000000002</v>
      </c>
      <c r="G197" s="15"/>
    </row>
    <row r="198" spans="2:7" x14ac:dyDescent="0.2">
      <c r="B198" s="104" t="s">
        <v>817</v>
      </c>
      <c r="C198" s="84" t="s">
        <v>818</v>
      </c>
      <c r="D198" s="85"/>
      <c r="E198" s="86"/>
      <c r="F198" s="41">
        <v>1014.4</v>
      </c>
      <c r="G198" s="15"/>
    </row>
    <row r="199" spans="2:7" x14ac:dyDescent="0.2">
      <c r="B199" s="113"/>
      <c r="C199" s="114"/>
      <c r="D199" s="115"/>
      <c r="E199" s="116"/>
      <c r="F199" s="59"/>
      <c r="G199" s="15"/>
    </row>
    <row r="200" spans="2:7" x14ac:dyDescent="0.2">
      <c r="B200" s="36" t="s">
        <v>55</v>
      </c>
      <c r="C200" s="37"/>
      <c r="D200" s="37"/>
      <c r="E200" s="37"/>
      <c r="F200" s="38"/>
      <c r="G200" s="15"/>
    </row>
    <row r="201" spans="2:7" x14ac:dyDescent="0.2">
      <c r="B201" s="117" t="s">
        <v>725</v>
      </c>
      <c r="C201" s="118"/>
      <c r="D201" s="119"/>
      <c r="E201" s="120"/>
      <c r="F201" s="41"/>
      <c r="G201" s="15"/>
    </row>
    <row r="202" spans="2:7" x14ac:dyDescent="0.2">
      <c r="B202" s="104" t="s">
        <v>714</v>
      </c>
      <c r="C202" s="84" t="s">
        <v>742</v>
      </c>
      <c r="D202" s="85"/>
      <c r="E202" s="86"/>
      <c r="F202" s="41">
        <v>658.4</v>
      </c>
      <c r="G202" s="15"/>
    </row>
    <row r="203" spans="2:7" x14ac:dyDescent="0.2">
      <c r="B203" s="104" t="s">
        <v>710</v>
      </c>
      <c r="C203" s="84" t="s">
        <v>743</v>
      </c>
      <c r="D203" s="85"/>
      <c r="E203" s="86"/>
      <c r="F203" s="41">
        <v>811.2</v>
      </c>
      <c r="G203" s="15"/>
    </row>
    <row r="204" spans="2:7" x14ac:dyDescent="0.2">
      <c r="B204" s="104" t="s">
        <v>711</v>
      </c>
      <c r="C204" s="84" t="s">
        <v>744</v>
      </c>
      <c r="D204" s="85"/>
      <c r="E204" s="86"/>
      <c r="F204" s="41">
        <v>1117.5999999999999</v>
      </c>
      <c r="G204" s="15"/>
    </row>
    <row r="205" spans="2:7" x14ac:dyDescent="0.2">
      <c r="B205" s="104" t="s">
        <v>712</v>
      </c>
      <c r="C205" s="84" t="s">
        <v>745</v>
      </c>
      <c r="D205" s="85"/>
      <c r="E205" s="86"/>
      <c r="F205" s="41">
        <v>1347.2</v>
      </c>
      <c r="G205" s="15"/>
    </row>
    <row r="206" spans="2:7" x14ac:dyDescent="0.2">
      <c r="B206" s="104" t="s">
        <v>713</v>
      </c>
      <c r="C206" s="84" t="s">
        <v>746</v>
      </c>
      <c r="D206" s="85"/>
      <c r="E206" s="86"/>
      <c r="F206" s="41">
        <v>1729.6</v>
      </c>
      <c r="G206" s="15"/>
    </row>
    <row r="207" spans="2:7" x14ac:dyDescent="0.2">
      <c r="B207" s="104" t="s">
        <v>715</v>
      </c>
      <c r="C207" s="84" t="s">
        <v>747</v>
      </c>
      <c r="D207" s="85"/>
      <c r="E207" s="86"/>
      <c r="F207" s="41">
        <v>2036</v>
      </c>
      <c r="G207" s="15"/>
    </row>
    <row r="208" spans="2:7" x14ac:dyDescent="0.2">
      <c r="B208" s="104" t="s">
        <v>716</v>
      </c>
      <c r="C208" s="84" t="s">
        <v>748</v>
      </c>
      <c r="D208" s="85"/>
      <c r="E208" s="86"/>
      <c r="F208" s="41">
        <v>2265.6</v>
      </c>
      <c r="G208" s="15"/>
    </row>
    <row r="209" spans="2:7" x14ac:dyDescent="0.2">
      <c r="B209" s="104" t="s">
        <v>717</v>
      </c>
      <c r="C209" s="84" t="s">
        <v>749</v>
      </c>
      <c r="D209" s="85"/>
      <c r="E209" s="86"/>
      <c r="F209" s="41">
        <v>3069.6</v>
      </c>
      <c r="G209" s="15"/>
    </row>
    <row r="210" spans="2:7" x14ac:dyDescent="0.2">
      <c r="B210" s="104" t="s">
        <v>718</v>
      </c>
      <c r="C210" s="84" t="s">
        <v>750</v>
      </c>
      <c r="D210" s="85"/>
      <c r="E210" s="86"/>
      <c r="F210" s="41">
        <v>3184.8</v>
      </c>
      <c r="G210" s="15"/>
    </row>
    <row r="211" spans="2:7" x14ac:dyDescent="0.2">
      <c r="B211" s="104" t="s">
        <v>719</v>
      </c>
      <c r="C211" s="84" t="s">
        <v>751</v>
      </c>
      <c r="D211" s="85"/>
      <c r="E211" s="86"/>
      <c r="F211" s="41">
        <v>3791.2</v>
      </c>
      <c r="G211" s="15"/>
    </row>
    <row r="212" spans="2:7" x14ac:dyDescent="0.2">
      <c r="B212" s="104" t="s">
        <v>720</v>
      </c>
      <c r="C212" s="84" t="s">
        <v>752</v>
      </c>
      <c r="D212" s="85"/>
      <c r="E212" s="86"/>
      <c r="F212" s="41">
        <v>5169.6000000000004</v>
      </c>
      <c r="G212" s="15"/>
    </row>
    <row r="213" spans="2:7" x14ac:dyDescent="0.2">
      <c r="B213" s="104" t="s">
        <v>721</v>
      </c>
      <c r="C213" s="84" t="s">
        <v>892</v>
      </c>
      <c r="D213" s="85"/>
      <c r="E213" s="86"/>
      <c r="F213" s="41">
        <v>6317.6</v>
      </c>
      <c r="G213" s="15"/>
    </row>
    <row r="214" spans="2:7" x14ac:dyDescent="0.2">
      <c r="B214" s="104" t="s">
        <v>722</v>
      </c>
      <c r="C214" s="84" t="s">
        <v>753</v>
      </c>
      <c r="D214" s="85"/>
      <c r="E214" s="86"/>
      <c r="F214" s="41">
        <v>8692</v>
      </c>
      <c r="G214" s="15"/>
    </row>
    <row r="215" spans="2:7" x14ac:dyDescent="0.2">
      <c r="B215" s="104" t="s">
        <v>723</v>
      </c>
      <c r="C215" s="84" t="s">
        <v>893</v>
      </c>
      <c r="D215" s="85"/>
      <c r="E215" s="86"/>
      <c r="F215" s="41">
        <v>9920.7999999999993</v>
      </c>
      <c r="G215" s="15"/>
    </row>
    <row r="216" spans="2:7" x14ac:dyDescent="0.2">
      <c r="B216" s="104" t="s">
        <v>724</v>
      </c>
      <c r="C216" s="84" t="s">
        <v>894</v>
      </c>
      <c r="D216" s="85"/>
      <c r="E216" s="86"/>
      <c r="F216" s="41">
        <v>14856.8</v>
      </c>
      <c r="G216" s="15"/>
    </row>
    <row r="217" spans="2:7" x14ac:dyDescent="0.2">
      <c r="B217" s="56"/>
      <c r="C217" s="106"/>
      <c r="D217" s="106"/>
      <c r="E217" s="106"/>
      <c r="F217" s="58"/>
      <c r="G217" s="15"/>
    </row>
    <row r="218" spans="2:7" x14ac:dyDescent="0.2">
      <c r="B218" s="107" t="s">
        <v>726</v>
      </c>
      <c r="C218" s="108"/>
      <c r="D218" s="108"/>
      <c r="E218" s="108"/>
      <c r="F218" s="52"/>
      <c r="G218" s="15"/>
    </row>
    <row r="219" spans="2:7" x14ac:dyDescent="0.2">
      <c r="B219" s="104" t="s">
        <v>727</v>
      </c>
      <c r="C219" s="84" t="s">
        <v>754</v>
      </c>
      <c r="D219" s="85"/>
      <c r="E219" s="86"/>
      <c r="F219" s="41">
        <v>2398.4</v>
      </c>
      <c r="G219" s="15"/>
    </row>
    <row r="220" spans="2:7" x14ac:dyDescent="0.2">
      <c r="B220" s="104" t="s">
        <v>728</v>
      </c>
      <c r="C220" s="84" t="s">
        <v>755</v>
      </c>
      <c r="D220" s="85"/>
      <c r="E220" s="86"/>
      <c r="F220" s="41">
        <v>2552</v>
      </c>
      <c r="G220" s="15"/>
    </row>
    <row r="221" spans="2:7" x14ac:dyDescent="0.2">
      <c r="B221" s="104" t="s">
        <v>729</v>
      </c>
      <c r="C221" s="84" t="s">
        <v>756</v>
      </c>
      <c r="D221" s="85"/>
      <c r="E221" s="86"/>
      <c r="F221" s="41">
        <v>3292.8</v>
      </c>
      <c r="G221" s="15"/>
    </row>
    <row r="222" spans="2:7" x14ac:dyDescent="0.2">
      <c r="B222" s="104" t="s">
        <v>730</v>
      </c>
      <c r="C222" s="84" t="s">
        <v>757</v>
      </c>
      <c r="D222" s="85"/>
      <c r="E222" s="86"/>
      <c r="F222" s="41">
        <v>3522.4</v>
      </c>
      <c r="G222" s="15"/>
    </row>
    <row r="223" spans="2:7" x14ac:dyDescent="0.2">
      <c r="B223" s="104" t="s">
        <v>731</v>
      </c>
      <c r="C223" s="84" t="s">
        <v>758</v>
      </c>
      <c r="D223" s="85"/>
      <c r="E223" s="86"/>
      <c r="F223" s="41">
        <v>3905.6</v>
      </c>
      <c r="G223" s="15"/>
    </row>
    <row r="224" spans="2:7" x14ac:dyDescent="0.2">
      <c r="B224" s="104" t="s">
        <v>732</v>
      </c>
      <c r="C224" s="84" t="s">
        <v>759</v>
      </c>
      <c r="D224" s="85"/>
      <c r="E224" s="86"/>
      <c r="F224" s="41">
        <v>4212</v>
      </c>
      <c r="G224" s="15"/>
    </row>
    <row r="225" spans="2:7" x14ac:dyDescent="0.2">
      <c r="B225" s="104" t="s">
        <v>733</v>
      </c>
      <c r="C225" s="84" t="s">
        <v>760</v>
      </c>
      <c r="D225" s="85"/>
      <c r="E225" s="86"/>
      <c r="F225" s="41">
        <v>4441.6000000000004</v>
      </c>
      <c r="G225" s="15"/>
    </row>
    <row r="226" spans="2:7" x14ac:dyDescent="0.2">
      <c r="B226" s="104" t="s">
        <v>734</v>
      </c>
      <c r="C226" s="84" t="s">
        <v>761</v>
      </c>
      <c r="D226" s="85"/>
      <c r="E226" s="86"/>
      <c r="F226" s="41">
        <v>5245.6</v>
      </c>
      <c r="G226" s="15"/>
    </row>
    <row r="227" spans="2:7" x14ac:dyDescent="0.2">
      <c r="B227" s="104" t="s">
        <v>735</v>
      </c>
      <c r="C227" s="84" t="s">
        <v>762</v>
      </c>
      <c r="D227" s="85"/>
      <c r="E227" s="86"/>
      <c r="F227" s="41">
        <v>5796</v>
      </c>
      <c r="G227" s="15"/>
    </row>
    <row r="228" spans="2:7" x14ac:dyDescent="0.2">
      <c r="B228" s="104" t="s">
        <v>736</v>
      </c>
      <c r="C228" s="84" t="s">
        <v>763</v>
      </c>
      <c r="D228" s="85"/>
      <c r="E228" s="86"/>
      <c r="F228" s="41">
        <v>5966.4</v>
      </c>
      <c r="G228" s="15"/>
    </row>
    <row r="229" spans="2:7" x14ac:dyDescent="0.2">
      <c r="B229" s="104" t="s">
        <v>737</v>
      </c>
      <c r="C229" s="84" t="s">
        <v>764</v>
      </c>
      <c r="D229" s="85"/>
      <c r="E229" s="86"/>
      <c r="F229" s="41">
        <v>7780</v>
      </c>
      <c r="G229" s="15"/>
    </row>
    <row r="230" spans="2:7" x14ac:dyDescent="0.2">
      <c r="B230" s="104" t="s">
        <v>738</v>
      </c>
      <c r="C230" s="84" t="s">
        <v>889</v>
      </c>
      <c r="D230" s="85"/>
      <c r="E230" s="86"/>
      <c r="F230" s="41">
        <v>8928.7999999999993</v>
      </c>
      <c r="G230" s="15"/>
    </row>
    <row r="231" spans="2:7" x14ac:dyDescent="0.2">
      <c r="B231" s="104" t="s">
        <v>739</v>
      </c>
      <c r="C231" s="84" t="s">
        <v>765</v>
      </c>
      <c r="D231" s="85"/>
      <c r="E231" s="86"/>
      <c r="F231" s="41">
        <v>11302.4</v>
      </c>
      <c r="G231" s="15"/>
    </row>
    <row r="232" spans="2:7" x14ac:dyDescent="0.2">
      <c r="B232" s="104" t="s">
        <v>740</v>
      </c>
      <c r="C232" s="84" t="s">
        <v>890</v>
      </c>
      <c r="D232" s="85"/>
      <c r="E232" s="86"/>
      <c r="F232" s="41">
        <v>12531.2</v>
      </c>
      <c r="G232" s="15"/>
    </row>
    <row r="233" spans="2:7" x14ac:dyDescent="0.2">
      <c r="B233" s="104" t="s">
        <v>741</v>
      </c>
      <c r="C233" s="84" t="s">
        <v>891</v>
      </c>
      <c r="D233" s="85"/>
      <c r="E233" s="86"/>
      <c r="F233" s="41">
        <v>17468</v>
      </c>
      <c r="G233" s="15"/>
    </row>
    <row r="234" spans="2:7" x14ac:dyDescent="0.2">
      <c r="B234" s="56"/>
      <c r="C234" s="106"/>
      <c r="D234" s="106"/>
      <c r="E234" s="106"/>
      <c r="F234" s="58"/>
      <c r="G234" s="15"/>
    </row>
    <row r="235" spans="2:7" x14ac:dyDescent="0.2">
      <c r="B235" s="107" t="s">
        <v>777</v>
      </c>
      <c r="C235" s="108"/>
      <c r="D235" s="108"/>
      <c r="E235" s="108"/>
      <c r="F235" s="52"/>
      <c r="G235" s="15"/>
    </row>
    <row r="236" spans="2:7" x14ac:dyDescent="0.2">
      <c r="B236" s="104" t="s">
        <v>779</v>
      </c>
      <c r="C236" s="84" t="s">
        <v>788</v>
      </c>
      <c r="D236" s="85"/>
      <c r="E236" s="86"/>
      <c r="F236" s="41">
        <v>1736</v>
      </c>
      <c r="G236" s="15"/>
    </row>
    <row r="237" spans="2:7" x14ac:dyDescent="0.2">
      <c r="B237" s="104" t="s">
        <v>778</v>
      </c>
      <c r="C237" s="84" t="s">
        <v>787</v>
      </c>
      <c r="D237" s="85"/>
      <c r="E237" s="86"/>
      <c r="F237" s="41">
        <v>2696</v>
      </c>
      <c r="G237" s="15"/>
    </row>
    <row r="238" spans="2:7" x14ac:dyDescent="0.2">
      <c r="B238" s="104" t="s">
        <v>780</v>
      </c>
      <c r="C238" s="84" t="s">
        <v>789</v>
      </c>
      <c r="D238" s="85"/>
      <c r="E238" s="86"/>
      <c r="F238" s="41">
        <v>3131.2</v>
      </c>
      <c r="G238" s="15"/>
    </row>
    <row r="239" spans="2:7" x14ac:dyDescent="0.2">
      <c r="B239" s="104" t="s">
        <v>781</v>
      </c>
      <c r="C239" s="84" t="s">
        <v>790</v>
      </c>
      <c r="D239" s="85"/>
      <c r="E239" s="86"/>
      <c r="F239" s="41">
        <v>3628</v>
      </c>
      <c r="G239" s="15"/>
    </row>
    <row r="240" spans="2:7" x14ac:dyDescent="0.2">
      <c r="B240" s="104" t="s">
        <v>782</v>
      </c>
      <c r="C240" s="84" t="s">
        <v>791</v>
      </c>
      <c r="D240" s="85"/>
      <c r="E240" s="86"/>
      <c r="F240" s="41">
        <v>4062.4</v>
      </c>
      <c r="G240" s="15"/>
    </row>
    <row r="241" spans="2:7" x14ac:dyDescent="0.2">
      <c r="B241" s="104" t="s">
        <v>783</v>
      </c>
      <c r="C241" s="84" t="s">
        <v>792</v>
      </c>
      <c r="D241" s="85"/>
      <c r="E241" s="86"/>
      <c r="F241" s="41">
        <v>5135.2</v>
      </c>
      <c r="G241" s="15"/>
    </row>
    <row r="242" spans="2:7" x14ac:dyDescent="0.2">
      <c r="B242" s="104" t="s">
        <v>784</v>
      </c>
      <c r="C242" s="84" t="s">
        <v>793</v>
      </c>
      <c r="D242" s="85"/>
      <c r="E242" s="86"/>
      <c r="F242" s="41">
        <v>6387.2</v>
      </c>
      <c r="G242" s="15"/>
    </row>
    <row r="243" spans="2:7" x14ac:dyDescent="0.2">
      <c r="B243" s="104" t="s">
        <v>785</v>
      </c>
      <c r="C243" s="84" t="s">
        <v>794</v>
      </c>
      <c r="D243" s="85"/>
      <c r="E243" s="86"/>
      <c r="F243" s="41">
        <v>9339.2000000000007</v>
      </c>
      <c r="G243" s="15"/>
    </row>
    <row r="244" spans="2:7" x14ac:dyDescent="0.2">
      <c r="B244" s="104" t="s">
        <v>786</v>
      </c>
      <c r="C244" s="84" t="s">
        <v>795</v>
      </c>
      <c r="D244" s="85"/>
      <c r="E244" s="86"/>
      <c r="F244" s="41">
        <v>10133.6</v>
      </c>
      <c r="G244" s="15"/>
    </row>
    <row r="245" spans="2:7" x14ac:dyDescent="0.2">
      <c r="B245" s="56"/>
      <c r="C245" s="106"/>
      <c r="D245" s="106"/>
      <c r="E245" s="106"/>
      <c r="F245" s="58"/>
      <c r="G245" s="15"/>
    </row>
    <row r="246" spans="2:7" x14ac:dyDescent="0.2">
      <c r="B246" s="107" t="s">
        <v>796</v>
      </c>
      <c r="C246" s="108"/>
      <c r="D246" s="108"/>
      <c r="E246" s="108"/>
      <c r="F246" s="52"/>
      <c r="G246" s="15"/>
    </row>
    <row r="247" spans="2:7" x14ac:dyDescent="0.2">
      <c r="B247" s="104" t="s">
        <v>797</v>
      </c>
      <c r="C247" s="84" t="s">
        <v>806</v>
      </c>
      <c r="D247" s="85"/>
      <c r="E247" s="86"/>
      <c r="F247" s="41">
        <v>3476.8</v>
      </c>
      <c r="G247" s="15"/>
    </row>
    <row r="248" spans="2:7" x14ac:dyDescent="0.2">
      <c r="B248" s="104" t="s">
        <v>798</v>
      </c>
      <c r="C248" s="84" t="s">
        <v>807</v>
      </c>
      <c r="D248" s="85"/>
      <c r="E248" s="86"/>
      <c r="F248" s="41">
        <v>4347.2</v>
      </c>
      <c r="G248" s="15"/>
    </row>
    <row r="249" spans="2:7" x14ac:dyDescent="0.2">
      <c r="B249" s="104" t="s">
        <v>799</v>
      </c>
      <c r="C249" s="84" t="s">
        <v>808</v>
      </c>
      <c r="D249" s="85"/>
      <c r="E249" s="86"/>
      <c r="F249" s="41">
        <v>4436.8</v>
      </c>
      <c r="G249" s="15"/>
    </row>
    <row r="250" spans="2:7" x14ac:dyDescent="0.2">
      <c r="B250" s="104" t="s">
        <v>800</v>
      </c>
      <c r="C250" s="84" t="s">
        <v>809</v>
      </c>
      <c r="D250" s="85"/>
      <c r="E250" s="86"/>
      <c r="F250" s="41">
        <v>5368</v>
      </c>
      <c r="G250" s="15"/>
    </row>
    <row r="251" spans="2:7" x14ac:dyDescent="0.2">
      <c r="B251" s="104" t="s">
        <v>801</v>
      </c>
      <c r="C251" s="84" t="s">
        <v>810</v>
      </c>
      <c r="D251" s="85"/>
      <c r="E251" s="86"/>
      <c r="F251" s="41">
        <v>6238.4</v>
      </c>
      <c r="G251" s="15"/>
    </row>
    <row r="252" spans="2:7" x14ac:dyDescent="0.2">
      <c r="B252" s="104" t="s">
        <v>802</v>
      </c>
      <c r="C252" s="84" t="s">
        <v>811</v>
      </c>
      <c r="D252" s="85"/>
      <c r="E252" s="86"/>
      <c r="F252" s="41">
        <v>7311.2</v>
      </c>
      <c r="G252" s="15"/>
    </row>
    <row r="253" spans="2:7" x14ac:dyDescent="0.2">
      <c r="B253" s="104" t="s">
        <v>803</v>
      </c>
      <c r="C253" s="84" t="s">
        <v>812</v>
      </c>
      <c r="D253" s="85"/>
      <c r="E253" s="86"/>
      <c r="F253" s="41">
        <v>8998.4</v>
      </c>
      <c r="G253" s="15"/>
    </row>
    <row r="254" spans="2:7" x14ac:dyDescent="0.2">
      <c r="B254" s="104" t="s">
        <v>804</v>
      </c>
      <c r="C254" s="84" t="s">
        <v>813</v>
      </c>
      <c r="D254" s="85"/>
      <c r="E254" s="86"/>
      <c r="F254" s="41">
        <v>11949.6</v>
      </c>
      <c r="G254" s="15"/>
    </row>
    <row r="255" spans="2:7" x14ac:dyDescent="0.2">
      <c r="B255" s="105" t="s">
        <v>805</v>
      </c>
      <c r="C255" s="84" t="s">
        <v>814</v>
      </c>
      <c r="D255" s="85"/>
      <c r="E255" s="86"/>
      <c r="F255" s="74">
        <v>12744.8</v>
      </c>
      <c r="G255" s="15"/>
    </row>
    <row r="256" spans="2:7" x14ac:dyDescent="0.2">
      <c r="B256" s="121"/>
      <c r="C256" s="90"/>
      <c r="D256" s="90"/>
      <c r="E256" s="90"/>
      <c r="F256" s="91"/>
      <c r="G256" s="15"/>
    </row>
    <row r="257" spans="2:7" x14ac:dyDescent="0.2">
      <c r="B257" s="53" t="s">
        <v>490</v>
      </c>
      <c r="C257" s="84" t="s">
        <v>491</v>
      </c>
      <c r="D257" s="85"/>
      <c r="E257" s="86"/>
      <c r="F257" s="122" t="s">
        <v>129</v>
      </c>
      <c r="G257" s="15"/>
    </row>
    <row r="258" spans="2:7" x14ac:dyDescent="0.2">
      <c r="B258" s="39" t="s">
        <v>492</v>
      </c>
      <c r="C258" s="84" t="s">
        <v>947</v>
      </c>
      <c r="D258" s="85"/>
      <c r="E258" s="86"/>
      <c r="F258" s="70" t="s">
        <v>129</v>
      </c>
      <c r="G258" s="15"/>
    </row>
    <row r="259" spans="2:7" x14ac:dyDescent="0.2">
      <c r="B259" s="39" t="s">
        <v>948</v>
      </c>
      <c r="C259" s="84" t="s">
        <v>949</v>
      </c>
      <c r="D259" s="85"/>
      <c r="E259" s="86"/>
      <c r="F259" s="70" t="s">
        <v>129</v>
      </c>
      <c r="G259" s="15"/>
    </row>
    <row r="260" spans="2:7" x14ac:dyDescent="0.2">
      <c r="B260" s="123"/>
      <c r="C260" s="62"/>
      <c r="D260" s="62"/>
      <c r="E260" s="62"/>
      <c r="F260" s="124"/>
      <c r="G260" s="15"/>
    </row>
    <row r="261" spans="2:7" x14ac:dyDescent="0.2">
      <c r="B261" s="39" t="s">
        <v>56</v>
      </c>
      <c r="C261" s="84" t="s">
        <v>57</v>
      </c>
      <c r="D261" s="85"/>
      <c r="E261" s="86"/>
      <c r="F261" s="41">
        <v>36.799999999999997</v>
      </c>
      <c r="G261" s="15"/>
    </row>
    <row r="262" spans="2:7" x14ac:dyDescent="0.2">
      <c r="B262" s="39" t="s">
        <v>660</v>
      </c>
      <c r="C262" s="84" t="s">
        <v>58</v>
      </c>
      <c r="D262" s="85"/>
      <c r="E262" s="86"/>
      <c r="F262" s="41">
        <v>15.2</v>
      </c>
      <c r="G262" s="15"/>
    </row>
    <row r="263" spans="2:7" x14ac:dyDescent="0.2">
      <c r="B263" s="39" t="s">
        <v>661</v>
      </c>
      <c r="C263" s="84" t="s">
        <v>59</v>
      </c>
      <c r="D263" s="85" t="s">
        <v>59</v>
      </c>
      <c r="E263" s="86" t="s">
        <v>59</v>
      </c>
      <c r="F263" s="41">
        <v>44.8</v>
      </c>
      <c r="G263" s="15"/>
    </row>
    <row r="264" spans="2:7" x14ac:dyDescent="0.2">
      <c r="B264" s="39" t="s">
        <v>662</v>
      </c>
      <c r="C264" s="84" t="s">
        <v>60</v>
      </c>
      <c r="D264" s="85" t="s">
        <v>60</v>
      </c>
      <c r="E264" s="86" t="s">
        <v>60</v>
      </c>
      <c r="F264" s="41">
        <v>39.200000000000003</v>
      </c>
      <c r="G264" s="15"/>
    </row>
    <row r="265" spans="2:7" x14ac:dyDescent="0.2">
      <c r="G265" s="15"/>
    </row>
    <row r="266" spans="2:7" x14ac:dyDescent="0.2">
      <c r="B266" s="36" t="s">
        <v>874</v>
      </c>
      <c r="C266" s="37"/>
      <c r="D266" s="37"/>
      <c r="E266" s="37"/>
      <c r="F266" s="38"/>
      <c r="G266" s="15"/>
    </row>
    <row r="267" spans="2:7" x14ac:dyDescent="0.2">
      <c r="B267" s="83" t="s">
        <v>964</v>
      </c>
      <c r="C267" s="84" t="s">
        <v>963</v>
      </c>
      <c r="D267" s="85"/>
      <c r="E267" s="86"/>
      <c r="F267" s="41">
        <v>6.4</v>
      </c>
      <c r="G267" s="125"/>
    </row>
    <row r="268" spans="2:7" x14ac:dyDescent="0.2">
      <c r="B268" s="83" t="s">
        <v>965</v>
      </c>
      <c r="C268" s="84" t="s">
        <v>966</v>
      </c>
      <c r="D268" s="85"/>
      <c r="E268" s="86"/>
      <c r="F268" s="41">
        <v>7.2</v>
      </c>
      <c r="G268" s="125"/>
    </row>
    <row r="269" spans="2:7" x14ac:dyDescent="0.2">
      <c r="B269" s="83" t="s">
        <v>663</v>
      </c>
      <c r="C269" s="84" t="s">
        <v>664</v>
      </c>
      <c r="D269" s="85"/>
      <c r="E269" s="86"/>
      <c r="F269" s="41">
        <v>7.2</v>
      </c>
      <c r="G269" s="125"/>
    </row>
    <row r="270" spans="2:7" x14ac:dyDescent="0.2">
      <c r="B270" s="83" t="s">
        <v>971</v>
      </c>
      <c r="C270" s="84" t="s">
        <v>972</v>
      </c>
      <c r="D270" s="85"/>
      <c r="E270" s="86"/>
      <c r="F270" s="41">
        <v>16</v>
      </c>
      <c r="G270" s="125"/>
    </row>
    <row r="271" spans="2:7" x14ac:dyDescent="0.2">
      <c r="B271" s="83" t="s">
        <v>666</v>
      </c>
      <c r="C271" s="84" t="s">
        <v>179</v>
      </c>
      <c r="D271" s="85"/>
      <c r="E271" s="86"/>
      <c r="F271" s="41">
        <v>484.8</v>
      </c>
      <c r="G271" s="125"/>
    </row>
    <row r="272" spans="2:7" x14ac:dyDescent="0.2">
      <c r="B272" s="83" t="s">
        <v>847</v>
      </c>
      <c r="C272" s="84" t="s">
        <v>848</v>
      </c>
      <c r="D272" s="85"/>
      <c r="E272" s="86"/>
      <c r="F272" s="41">
        <v>1197.5999999999999</v>
      </c>
      <c r="G272" s="125"/>
    </row>
    <row r="273" spans="2:7" x14ac:dyDescent="0.2">
      <c r="B273" s="83" t="s">
        <v>849</v>
      </c>
      <c r="C273" s="84" t="s">
        <v>882</v>
      </c>
      <c r="D273" s="85"/>
      <c r="E273" s="86"/>
      <c r="F273" s="41">
        <v>22.4</v>
      </c>
      <c r="G273" s="125"/>
    </row>
    <row r="274" spans="2:7" x14ac:dyDescent="0.2">
      <c r="B274" s="83" t="s">
        <v>850</v>
      </c>
      <c r="C274" s="84" t="s">
        <v>883</v>
      </c>
      <c r="D274" s="85" t="s">
        <v>78</v>
      </c>
      <c r="E274" s="86" t="s">
        <v>78</v>
      </c>
      <c r="F274" s="41">
        <v>22.4</v>
      </c>
      <c r="G274" s="125"/>
    </row>
    <row r="275" spans="2:7" x14ac:dyDescent="0.2">
      <c r="B275" s="83" t="s">
        <v>852</v>
      </c>
      <c r="C275" s="84" t="s">
        <v>884</v>
      </c>
      <c r="D275" s="85" t="s">
        <v>80</v>
      </c>
      <c r="E275" s="86" t="s">
        <v>80</v>
      </c>
      <c r="F275" s="41">
        <v>14.4</v>
      </c>
      <c r="G275" s="125"/>
    </row>
    <row r="276" spans="2:7" x14ac:dyDescent="0.2">
      <c r="B276" s="83" t="s">
        <v>851</v>
      </c>
      <c r="C276" s="84" t="s">
        <v>885</v>
      </c>
      <c r="D276" s="85" t="s">
        <v>79</v>
      </c>
      <c r="E276" s="86" t="s">
        <v>79</v>
      </c>
      <c r="F276" s="41">
        <v>19.2</v>
      </c>
      <c r="G276" s="125"/>
    </row>
    <row r="277" spans="2:7" x14ac:dyDescent="0.2">
      <c r="B277" s="83" t="s">
        <v>657</v>
      </c>
      <c r="C277" s="84" t="s">
        <v>886</v>
      </c>
      <c r="D277" s="85"/>
      <c r="E277" s="86"/>
      <c r="F277" s="41">
        <v>24</v>
      </c>
      <c r="G277" s="125"/>
    </row>
    <row r="278" spans="2:7" x14ac:dyDescent="0.2">
      <c r="B278" s="83" t="s">
        <v>658</v>
      </c>
      <c r="C278" s="84" t="s">
        <v>887</v>
      </c>
      <c r="D278" s="85" t="s">
        <v>81</v>
      </c>
      <c r="E278" s="86" t="s">
        <v>81</v>
      </c>
      <c r="F278" s="41">
        <v>48</v>
      </c>
      <c r="G278" s="125"/>
    </row>
    <row r="279" spans="2:7" x14ac:dyDescent="0.2">
      <c r="B279" s="83" t="s">
        <v>659</v>
      </c>
      <c r="C279" s="84" t="s">
        <v>888</v>
      </c>
      <c r="D279" s="85"/>
      <c r="E279" s="86"/>
      <c r="F279" s="41">
        <v>55.2</v>
      </c>
      <c r="G279" s="15"/>
    </row>
    <row r="280" spans="2:7" x14ac:dyDescent="0.2">
      <c r="B280" s="83" t="s">
        <v>667</v>
      </c>
      <c r="C280" s="84" t="s">
        <v>82</v>
      </c>
      <c r="D280" s="85" t="s">
        <v>82</v>
      </c>
      <c r="E280" s="86" t="s">
        <v>82</v>
      </c>
      <c r="F280" s="41">
        <v>393.6</v>
      </c>
      <c r="G280" s="15"/>
    </row>
    <row r="281" spans="2:7" x14ac:dyDescent="0.2">
      <c r="B281" s="83" t="s">
        <v>668</v>
      </c>
      <c r="C281" s="84" t="s">
        <v>83</v>
      </c>
      <c r="D281" s="85"/>
      <c r="E281" s="86"/>
      <c r="F281" s="41">
        <v>328.8</v>
      </c>
      <c r="G281" s="15"/>
    </row>
    <row r="282" spans="2:7" x14ac:dyDescent="0.2">
      <c r="B282" s="78"/>
      <c r="C282" s="78"/>
      <c r="D282" s="78"/>
      <c r="E282" s="78"/>
      <c r="F282" s="42"/>
      <c r="G282" s="15"/>
    </row>
    <row r="283" spans="2:7" x14ac:dyDescent="0.2">
      <c r="B283" s="78"/>
      <c r="C283" s="126"/>
      <c r="D283" s="126"/>
      <c r="E283" s="126"/>
      <c r="F283" s="78" t="s">
        <v>184</v>
      </c>
      <c r="G283" s="15"/>
    </row>
    <row r="284" spans="2:7" x14ac:dyDescent="0.2">
      <c r="F284" s="4" t="s">
        <v>184</v>
      </c>
    </row>
    <row r="285" spans="2:7" x14ac:dyDescent="0.2">
      <c r="F285" s="4" t="s">
        <v>184</v>
      </c>
    </row>
    <row r="286" spans="2:7" x14ac:dyDescent="0.2">
      <c r="F286" s="4" t="s">
        <v>184</v>
      </c>
    </row>
    <row r="287" spans="2:7" x14ac:dyDescent="0.2">
      <c r="F287" s="4" t="s">
        <v>184</v>
      </c>
    </row>
    <row r="288" spans="2:7" x14ac:dyDescent="0.2">
      <c r="F288" s="4" t="s">
        <v>184</v>
      </c>
    </row>
    <row r="289" spans="6:6" x14ac:dyDescent="0.2">
      <c r="F289" s="4" t="s">
        <v>184</v>
      </c>
    </row>
    <row r="290" spans="6:6" x14ac:dyDescent="0.2">
      <c r="F290" s="4" t="s">
        <v>184</v>
      </c>
    </row>
  </sheetData>
  <sheetProtection algorithmName="SHA-512" hashValue="IPd3ib665dqQgS+O4iHeDnkzjvxzQJF+9UF3nLIJSSP+HOsEW+BCA5JQSdTIbSZK94vj2iUOiFSMd/4lJDAsnA==" saltValue="zaIeQG/kLOVyvlG1R8E9tQ==" spinCount="100000" sheet="1" objects="1" scenarios="1"/>
  <mergeCells count="227">
    <mergeCell ref="C14:E14"/>
    <mergeCell ref="C46:E46"/>
    <mergeCell ref="C44:E44"/>
    <mergeCell ref="C65:E65"/>
    <mergeCell ref="C53:E53"/>
    <mergeCell ref="C36:E36"/>
    <mergeCell ref="C29:E29"/>
    <mergeCell ref="C30:E30"/>
    <mergeCell ref="C18:E18"/>
    <mergeCell ref="C64:E64"/>
    <mergeCell ref="C24:E24"/>
    <mergeCell ref="C26:E26"/>
    <mergeCell ref="C52:E52"/>
    <mergeCell ref="C62:E62"/>
    <mergeCell ref="C63:E63"/>
    <mergeCell ref="C198:E198"/>
    <mergeCell ref="C197:E197"/>
    <mergeCell ref="C196:E196"/>
    <mergeCell ref="C194:E194"/>
    <mergeCell ref="C111:E111"/>
    <mergeCell ref="C100:E100"/>
    <mergeCell ref="C101:E101"/>
    <mergeCell ref="C109:E109"/>
    <mergeCell ref="C110:E110"/>
    <mergeCell ref="C182:E182"/>
    <mergeCell ref="C183:E183"/>
    <mergeCell ref="C184:E184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B9:G9"/>
    <mergeCell ref="C51:E51"/>
    <mergeCell ref="C22:E22"/>
    <mergeCell ref="C50:E50"/>
    <mergeCell ref="C12:E12"/>
    <mergeCell ref="C13:E13"/>
    <mergeCell ref="C10:E10"/>
    <mergeCell ref="C37:E37"/>
    <mergeCell ref="C39:E39"/>
    <mergeCell ref="C19:E19"/>
    <mergeCell ref="C20:E20"/>
    <mergeCell ref="C31:E31"/>
    <mergeCell ref="C34:E34"/>
    <mergeCell ref="C41:E41"/>
    <mergeCell ref="C27:E27"/>
    <mergeCell ref="C28:E28"/>
    <mergeCell ref="C15:E15"/>
    <mergeCell ref="C16:E16"/>
    <mergeCell ref="C17:E17"/>
    <mergeCell ref="C21:E21"/>
    <mergeCell ref="C35:E35"/>
    <mergeCell ref="C38:E38"/>
    <mergeCell ref="C40:E40"/>
    <mergeCell ref="C45:E45"/>
    <mergeCell ref="C283:E283"/>
    <mergeCell ref="C272:E272"/>
    <mergeCell ref="C277:E277"/>
    <mergeCell ref="C275:E275"/>
    <mergeCell ref="C278:E278"/>
    <mergeCell ref="C280:E280"/>
    <mergeCell ref="C267:E267"/>
    <mergeCell ref="C279:E279"/>
    <mergeCell ref="C281:E281"/>
    <mergeCell ref="C268:E268"/>
    <mergeCell ref="C76:E76"/>
    <mergeCell ref="C82:E82"/>
    <mergeCell ref="C75:E75"/>
    <mergeCell ref="C88:E88"/>
    <mergeCell ref="C97:E97"/>
    <mergeCell ref="C107:E107"/>
    <mergeCell ref="C96:E96"/>
    <mergeCell ref="C94:E94"/>
    <mergeCell ref="C77:E77"/>
    <mergeCell ref="C66:E66"/>
    <mergeCell ref="C73:E73"/>
    <mergeCell ref="C74:E74"/>
    <mergeCell ref="C80:E80"/>
    <mergeCell ref="C81:E81"/>
    <mergeCell ref="C191:E191"/>
    <mergeCell ref="C192:E192"/>
    <mergeCell ref="C193:E193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264:E264"/>
    <mergeCell ref="C270:E270"/>
    <mergeCell ref="C271:E271"/>
    <mergeCell ref="C274:E274"/>
    <mergeCell ref="C276:E276"/>
    <mergeCell ref="C23:E23"/>
    <mergeCell ref="C54:E54"/>
    <mergeCell ref="C57:E57"/>
    <mergeCell ref="C58:E58"/>
    <mergeCell ref="C59:E59"/>
    <mergeCell ref="C32:E32"/>
    <mergeCell ref="C55:E55"/>
    <mergeCell ref="C187:E187"/>
    <mergeCell ref="C188:E188"/>
    <mergeCell ref="C273:E273"/>
    <mergeCell ref="C269:E269"/>
    <mergeCell ref="C247:E247"/>
    <mergeCell ref="C248:E248"/>
    <mergeCell ref="C249:E249"/>
    <mergeCell ref="C250:E250"/>
    <mergeCell ref="C251:E251"/>
    <mergeCell ref="C257:E257"/>
    <mergeCell ref="C258:E258"/>
    <mergeCell ref="C261:E261"/>
    <mergeCell ref="C262:E262"/>
    <mergeCell ref="C263:E263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59:E259"/>
    <mergeCell ref="C222:E222"/>
    <mergeCell ref="C223:E223"/>
    <mergeCell ref="C224:E224"/>
    <mergeCell ref="C225:E225"/>
    <mergeCell ref="C226:E226"/>
    <mergeCell ref="C227:E227"/>
    <mergeCell ref="C253:E253"/>
    <mergeCell ref="C254:E254"/>
    <mergeCell ref="C255:E255"/>
    <mergeCell ref="C228:E228"/>
    <mergeCell ref="C229:E229"/>
    <mergeCell ref="C230:E230"/>
    <mergeCell ref="C231:E231"/>
    <mergeCell ref="C232:E232"/>
    <mergeCell ref="C233:E233"/>
    <mergeCell ref="C252:E252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9:E219"/>
    <mergeCell ref="C220:E220"/>
    <mergeCell ref="C221:E221"/>
    <mergeCell ref="C158:E158"/>
    <mergeCell ref="C159:E159"/>
    <mergeCell ref="C160:E160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56:E156"/>
    <mergeCell ref="C157:E157"/>
    <mergeCell ref="C134:E134"/>
    <mergeCell ref="C135:E135"/>
    <mergeCell ref="C136:E136"/>
    <mergeCell ref="C69:E69"/>
    <mergeCell ref="C70:E70"/>
    <mergeCell ref="C71:E71"/>
    <mergeCell ref="C72:E72"/>
    <mergeCell ref="C151:E151"/>
    <mergeCell ref="C152:E152"/>
    <mergeCell ref="C153:E153"/>
    <mergeCell ref="C154:E154"/>
    <mergeCell ref="C155:E155"/>
    <mergeCell ref="C86:E86"/>
    <mergeCell ref="C87:E87"/>
    <mergeCell ref="C83:E83"/>
    <mergeCell ref="C102:E102"/>
    <mergeCell ref="C99:E99"/>
    <mergeCell ref="C108:E108"/>
    <mergeCell ref="C95:E95"/>
    <mergeCell ref="C98:E98"/>
    <mergeCell ref="C89:E89"/>
    <mergeCell ref="C93:E93"/>
    <mergeCell ref="C105:E105"/>
    <mergeCell ref="C106:E106"/>
    <mergeCell ref="C131:E131"/>
    <mergeCell ref="C132:E132"/>
    <mergeCell ref="C133:E133"/>
  </mergeCells>
  <phoneticPr fontId="7" type="noConversion"/>
  <conditionalFormatting sqref="B189">
    <cfRule type="duplicateValues" dxfId="1" priority="1"/>
  </conditionalFormatting>
  <hyperlinks>
    <hyperlink ref="B7" r:id="rId1" xr:uid="{EDAA8FB5-8464-416A-A8A6-31AD38AB1F8B}"/>
    <hyperlink ref="B8" r:id="rId2" xr:uid="{E81C6495-099E-4BE5-B4C4-3442CFDFBFEA}"/>
  </hyperlinks>
  <pageMargins left="0.23622047244094491" right="0.23622047244094491" top="0.74803149606299213" bottom="0.74803149606299213" header="0.31496062992125984" footer="0.31496062992125984"/>
  <pageSetup paperSize="9" scale="67" fitToHeight="0" orientation="portrait" horizontalDpi="4294967293" r:id="rId3"/>
  <rowBreaks count="1" manualBreakCount="1">
    <brk id="69" max="6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3DB6-44CE-434E-8FB6-A3569064353D}">
  <sheetPr codeName="Sheet2">
    <tabColor rgb="FF0070C0"/>
    <pageSetUpPr fitToPage="1"/>
  </sheetPr>
  <dimension ref="A1:H190"/>
  <sheetViews>
    <sheetView showGridLines="0" zoomScaleNormal="100" zoomScaleSheetLayoutView="100" workbookViewId="0">
      <pane ySplit="10" topLeftCell="A11" activePane="bottomLeft" state="frozen"/>
      <selection pane="bottomLeft" activeCell="M7" sqref="M7"/>
    </sheetView>
  </sheetViews>
  <sheetFormatPr defaultRowHeight="15" x14ac:dyDescent="0.25"/>
  <cols>
    <col min="1" max="1" width="5.7109375" style="1" customWidth="1"/>
    <col min="2" max="2" width="28.7109375" style="171" customWidth="1"/>
    <col min="3" max="3" width="14.7109375" style="171" customWidth="1"/>
    <col min="4" max="4" width="25.7109375" style="171" customWidth="1"/>
    <col min="5" max="5" width="48.7109375" style="171" customWidth="1"/>
    <col min="6" max="6" width="18.7109375" style="171" customWidth="1"/>
    <col min="7" max="7" width="5.7109375" style="171" customWidth="1"/>
    <col min="8" max="8" width="6" style="4" customWidth="1"/>
    <col min="9" max="16384" width="9.140625" style="5"/>
  </cols>
  <sheetData>
    <row r="1" spans="2:7" ht="20.25" customHeight="1" x14ac:dyDescent="0.25">
      <c r="B1" s="2"/>
      <c r="C1" s="3"/>
      <c r="D1" s="3"/>
      <c r="E1" s="3"/>
      <c r="F1" s="3"/>
      <c r="G1" s="3"/>
    </row>
    <row r="2" spans="2:7" ht="30" customHeight="1" x14ac:dyDescent="0.25">
      <c r="B2" s="6" t="s">
        <v>898</v>
      </c>
      <c r="C2" s="7"/>
      <c r="D2" s="8"/>
      <c r="E2" s="8"/>
      <c r="F2" s="9"/>
      <c r="G2" s="9"/>
    </row>
    <row r="3" spans="2:7" ht="15" customHeight="1" x14ac:dyDescent="0.25">
      <c r="B3" s="10"/>
      <c r="C3" s="10"/>
      <c r="D3" s="10"/>
      <c r="E3" s="10"/>
      <c r="F3" s="10"/>
      <c r="G3" s="10"/>
    </row>
    <row r="4" spans="2:7" x14ac:dyDescent="0.25">
      <c r="B4" s="11" t="s">
        <v>0</v>
      </c>
      <c r="C4" s="12"/>
      <c r="D4" s="13" t="s">
        <v>1</v>
      </c>
      <c r="E4" s="14" t="s">
        <v>899</v>
      </c>
      <c r="F4" s="15"/>
      <c r="G4" s="16"/>
    </row>
    <row r="5" spans="2:7" x14ac:dyDescent="0.25">
      <c r="B5" s="11" t="s">
        <v>2</v>
      </c>
      <c r="C5" s="12"/>
      <c r="D5" s="13" t="s">
        <v>3</v>
      </c>
      <c r="E5" s="14" t="s">
        <v>900</v>
      </c>
      <c r="F5" s="15"/>
      <c r="G5" s="16"/>
    </row>
    <row r="6" spans="2:7" x14ac:dyDescent="0.25">
      <c r="B6" s="17" t="s">
        <v>4</v>
      </c>
      <c r="C6" s="18"/>
      <c r="D6" s="19" t="s">
        <v>5</v>
      </c>
      <c r="E6" s="127" t="str">
        <f>'SFC Interlocking'!E6</f>
        <v xml:space="preserve">EUR </v>
      </c>
      <c r="F6" s="21"/>
      <c r="G6" s="22"/>
    </row>
    <row r="7" spans="2:7" x14ac:dyDescent="0.25">
      <c r="B7" s="23" t="s">
        <v>897</v>
      </c>
      <c r="C7" s="24"/>
      <c r="D7" s="25" t="s">
        <v>6</v>
      </c>
      <c r="E7" s="127" t="str">
        <f>'SFC Interlocking'!E7</f>
        <v>Europe - SDIS</v>
      </c>
      <c r="F7" s="4"/>
      <c r="G7" s="27"/>
    </row>
    <row r="8" spans="2:7" x14ac:dyDescent="0.25">
      <c r="B8" s="23" t="s">
        <v>7</v>
      </c>
      <c r="C8" s="24"/>
      <c r="D8" s="25" t="s">
        <v>8</v>
      </c>
      <c r="E8" s="25" t="s">
        <v>845</v>
      </c>
      <c r="F8" s="4"/>
      <c r="G8" s="27"/>
    </row>
    <row r="9" spans="2:7" x14ac:dyDescent="0.25">
      <c r="B9" s="128"/>
      <c r="C9" s="128"/>
      <c r="D9" s="128"/>
      <c r="E9" s="128"/>
      <c r="F9" s="128"/>
      <c r="G9" s="129"/>
    </row>
    <row r="10" spans="2:7" x14ac:dyDescent="0.25">
      <c r="B10" s="30" t="s">
        <v>9</v>
      </c>
      <c r="C10" s="130" t="s">
        <v>10</v>
      </c>
      <c r="D10" s="131"/>
      <c r="E10" s="132"/>
      <c r="F10" s="34" t="s">
        <v>11</v>
      </c>
      <c r="G10" s="133"/>
    </row>
    <row r="11" spans="2:7" x14ac:dyDescent="0.25">
      <c r="B11" s="134" t="s">
        <v>84</v>
      </c>
      <c r="C11" s="135"/>
      <c r="D11" s="135"/>
      <c r="E11" s="135"/>
      <c r="F11" s="136"/>
      <c r="G11" s="137"/>
    </row>
    <row r="12" spans="2:7" x14ac:dyDescent="0.25">
      <c r="B12" s="138" t="s">
        <v>403</v>
      </c>
      <c r="C12" s="139" t="s">
        <v>423</v>
      </c>
      <c r="D12" s="140"/>
      <c r="E12" s="141"/>
      <c r="F12" s="142">
        <v>760.8</v>
      </c>
      <c r="G12" s="143"/>
    </row>
    <row r="13" spans="2:7" x14ac:dyDescent="0.25">
      <c r="B13" s="138" t="s">
        <v>405</v>
      </c>
      <c r="C13" s="139" t="s">
        <v>424</v>
      </c>
      <c r="D13" s="140"/>
      <c r="E13" s="141"/>
      <c r="F13" s="142">
        <v>888.8</v>
      </c>
      <c r="G13" s="143"/>
    </row>
    <row r="14" spans="2:7" x14ac:dyDescent="0.25">
      <c r="B14" s="138" t="s">
        <v>407</v>
      </c>
      <c r="C14" s="139" t="s">
        <v>426</v>
      </c>
      <c r="D14" s="140"/>
      <c r="E14" s="141"/>
      <c r="F14" s="142">
        <v>989.6</v>
      </c>
      <c r="G14" s="143"/>
    </row>
    <row r="15" spans="2:7" x14ac:dyDescent="0.25">
      <c r="B15" s="138" t="s">
        <v>402</v>
      </c>
      <c r="C15" s="139" t="s">
        <v>422</v>
      </c>
      <c r="D15" s="140"/>
      <c r="E15" s="141"/>
      <c r="F15" s="142">
        <v>676</v>
      </c>
      <c r="G15" s="143"/>
    </row>
    <row r="16" spans="2:7" x14ac:dyDescent="0.25">
      <c r="B16" s="138" t="s">
        <v>404</v>
      </c>
      <c r="C16" s="139" t="s">
        <v>875</v>
      </c>
      <c r="D16" s="140"/>
      <c r="E16" s="141"/>
      <c r="F16" s="142">
        <v>804</v>
      </c>
      <c r="G16" s="143"/>
    </row>
    <row r="17" spans="2:7" x14ac:dyDescent="0.25">
      <c r="B17" s="138" t="s">
        <v>406</v>
      </c>
      <c r="C17" s="139" t="s">
        <v>425</v>
      </c>
      <c r="D17" s="140"/>
      <c r="E17" s="141"/>
      <c r="F17" s="142">
        <v>904.8</v>
      </c>
      <c r="G17" s="143"/>
    </row>
    <row r="18" spans="2:7" x14ac:dyDescent="0.25">
      <c r="B18" s="138" t="s">
        <v>408</v>
      </c>
      <c r="C18" s="139" t="s">
        <v>427</v>
      </c>
      <c r="D18" s="140"/>
      <c r="E18" s="141"/>
      <c r="F18" s="142">
        <v>375.2</v>
      </c>
      <c r="G18" s="143"/>
    </row>
    <row r="19" spans="2:7" x14ac:dyDescent="0.25">
      <c r="B19" s="144" t="s">
        <v>409</v>
      </c>
      <c r="C19" s="139" t="s">
        <v>428</v>
      </c>
      <c r="D19" s="140"/>
      <c r="E19" s="141"/>
      <c r="F19" s="142">
        <v>459.2</v>
      </c>
      <c r="G19" s="143"/>
    </row>
    <row r="20" spans="2:7" x14ac:dyDescent="0.25">
      <c r="B20" s="138" t="s">
        <v>410</v>
      </c>
      <c r="C20" s="139" t="s">
        <v>85</v>
      </c>
      <c r="D20" s="140"/>
      <c r="E20" s="141"/>
      <c r="F20" s="142">
        <v>401.6</v>
      </c>
      <c r="G20" s="143"/>
    </row>
    <row r="21" spans="2:7" ht="15" customHeight="1" x14ac:dyDescent="0.25">
      <c r="B21" s="145" t="s">
        <v>412</v>
      </c>
      <c r="C21" s="139" t="s">
        <v>86</v>
      </c>
      <c r="D21" s="140"/>
      <c r="E21" s="141"/>
      <c r="F21" s="142">
        <v>220</v>
      </c>
      <c r="G21" s="143"/>
    </row>
    <row r="22" spans="2:7" ht="15" customHeight="1" x14ac:dyDescent="0.25">
      <c r="B22" s="145" t="s">
        <v>413</v>
      </c>
      <c r="C22" s="139" t="s">
        <v>87</v>
      </c>
      <c r="D22" s="140"/>
      <c r="E22" s="141"/>
      <c r="F22" s="142">
        <v>220</v>
      </c>
      <c r="G22" s="143"/>
    </row>
    <row r="23" spans="2:7" x14ac:dyDescent="0.25">
      <c r="B23" s="146" t="s">
        <v>877</v>
      </c>
      <c r="C23" s="147" t="s">
        <v>876</v>
      </c>
      <c r="D23" s="148"/>
      <c r="E23" s="149"/>
      <c r="F23" s="70" t="s">
        <v>129</v>
      </c>
      <c r="G23" s="143"/>
    </row>
    <row r="24" spans="2:7" x14ac:dyDescent="0.25">
      <c r="B24" s="150"/>
      <c r="C24" s="106"/>
      <c r="D24" s="106"/>
      <c r="E24" s="106"/>
      <c r="F24" s="58"/>
      <c r="G24" s="143"/>
    </row>
    <row r="25" spans="2:7" x14ac:dyDescent="0.25">
      <c r="B25" s="107" t="s">
        <v>414</v>
      </c>
      <c r="C25" s="108"/>
      <c r="D25" s="108"/>
      <c r="E25" s="108"/>
      <c r="F25" s="52"/>
      <c r="G25" s="143"/>
    </row>
    <row r="26" spans="2:7" x14ac:dyDescent="0.25">
      <c r="B26" s="146" t="s">
        <v>438</v>
      </c>
      <c r="C26" s="147" t="s">
        <v>429</v>
      </c>
      <c r="D26" s="148"/>
      <c r="E26" s="149"/>
      <c r="F26" s="55">
        <v>68.8</v>
      </c>
      <c r="G26" s="143"/>
    </row>
    <row r="27" spans="2:7" x14ac:dyDescent="0.25">
      <c r="B27" s="146" t="s">
        <v>439</v>
      </c>
      <c r="C27" s="147" t="s">
        <v>430</v>
      </c>
      <c r="D27" s="148"/>
      <c r="E27" s="149"/>
      <c r="F27" s="55">
        <v>68.8</v>
      </c>
      <c r="G27" s="143"/>
    </row>
    <row r="28" spans="2:7" x14ac:dyDescent="0.25">
      <c r="B28" s="146" t="s">
        <v>440</v>
      </c>
      <c r="C28" s="147" t="s">
        <v>431</v>
      </c>
      <c r="D28" s="148"/>
      <c r="E28" s="149"/>
      <c r="F28" s="55">
        <v>68.8</v>
      </c>
      <c r="G28" s="143"/>
    </row>
    <row r="29" spans="2:7" x14ac:dyDescent="0.25">
      <c r="B29" s="146" t="s">
        <v>442</v>
      </c>
      <c r="C29" s="147" t="s">
        <v>432</v>
      </c>
      <c r="D29" s="148"/>
      <c r="E29" s="149"/>
      <c r="F29" s="55">
        <v>68.8</v>
      </c>
      <c r="G29" s="143"/>
    </row>
    <row r="30" spans="2:7" x14ac:dyDescent="0.25">
      <c r="B30" s="146" t="s">
        <v>441</v>
      </c>
      <c r="C30" s="147" t="s">
        <v>436</v>
      </c>
      <c r="D30" s="148"/>
      <c r="E30" s="149"/>
      <c r="F30" s="55">
        <v>68.8</v>
      </c>
      <c r="G30" s="143"/>
    </row>
    <row r="31" spans="2:7" x14ac:dyDescent="0.25">
      <c r="B31" s="146" t="s">
        <v>443</v>
      </c>
      <c r="C31" s="147" t="s">
        <v>433</v>
      </c>
      <c r="D31" s="148"/>
      <c r="E31" s="149"/>
      <c r="F31" s="55">
        <v>68.8</v>
      </c>
      <c r="G31" s="143"/>
    </row>
    <row r="32" spans="2:7" x14ac:dyDescent="0.25">
      <c r="B32" s="146" t="s">
        <v>444</v>
      </c>
      <c r="C32" s="147" t="s">
        <v>437</v>
      </c>
      <c r="D32" s="148"/>
      <c r="E32" s="149"/>
      <c r="F32" s="55">
        <v>68.8</v>
      </c>
      <c r="G32" s="143"/>
    </row>
    <row r="33" spans="2:7" x14ac:dyDescent="0.25">
      <c r="B33" s="146" t="s">
        <v>445</v>
      </c>
      <c r="C33" s="147" t="s">
        <v>434</v>
      </c>
      <c r="D33" s="148"/>
      <c r="E33" s="149"/>
      <c r="F33" s="55">
        <v>68.8</v>
      </c>
      <c r="G33" s="143"/>
    </row>
    <row r="34" spans="2:7" x14ac:dyDescent="0.25">
      <c r="B34" s="146" t="s">
        <v>446</v>
      </c>
      <c r="C34" s="147" t="s">
        <v>435</v>
      </c>
      <c r="D34" s="148"/>
      <c r="E34" s="149"/>
      <c r="F34" s="55">
        <v>68.8</v>
      </c>
      <c r="G34" s="143"/>
    </row>
    <row r="35" spans="2:7" x14ac:dyDescent="0.25">
      <c r="B35" s="150"/>
      <c r="C35" s="106"/>
      <c r="D35" s="106"/>
      <c r="E35" s="106"/>
      <c r="F35" s="58"/>
      <c r="G35" s="143"/>
    </row>
    <row r="36" spans="2:7" x14ac:dyDescent="0.25">
      <c r="B36" s="107" t="s">
        <v>415</v>
      </c>
      <c r="C36" s="108"/>
      <c r="D36" s="108"/>
      <c r="E36" s="108"/>
      <c r="F36" s="52"/>
      <c r="G36" s="143"/>
    </row>
    <row r="37" spans="2:7" x14ac:dyDescent="0.25">
      <c r="B37" s="146" t="s">
        <v>448</v>
      </c>
      <c r="C37" s="147" t="s">
        <v>447</v>
      </c>
      <c r="D37" s="148"/>
      <c r="E37" s="149"/>
      <c r="F37" s="41">
        <v>164</v>
      </c>
      <c r="G37" s="143"/>
    </row>
    <row r="38" spans="2:7" ht="15" customHeight="1" x14ac:dyDescent="0.25">
      <c r="B38" s="146" t="s">
        <v>450</v>
      </c>
      <c r="C38" s="147" t="s">
        <v>449</v>
      </c>
      <c r="D38" s="148"/>
      <c r="E38" s="149"/>
      <c r="F38" s="41">
        <v>164</v>
      </c>
      <c r="G38" s="143"/>
    </row>
    <row r="39" spans="2:7" ht="15" customHeight="1" x14ac:dyDescent="0.25">
      <c r="B39" s="146" t="s">
        <v>451</v>
      </c>
      <c r="C39" s="147" t="s">
        <v>452</v>
      </c>
      <c r="D39" s="148"/>
      <c r="E39" s="149"/>
      <c r="F39" s="41">
        <v>164</v>
      </c>
      <c r="G39" s="143"/>
    </row>
    <row r="40" spans="2:7" ht="15" customHeight="1" x14ac:dyDescent="0.25">
      <c r="B40" s="146" t="s">
        <v>453</v>
      </c>
      <c r="C40" s="147" t="s">
        <v>454</v>
      </c>
      <c r="D40" s="148"/>
      <c r="E40" s="149"/>
      <c r="F40" s="41">
        <v>164</v>
      </c>
      <c r="G40" s="143"/>
    </row>
    <row r="41" spans="2:7" ht="15" customHeight="1" x14ac:dyDescent="0.25">
      <c r="B41" s="146" t="s">
        <v>455</v>
      </c>
      <c r="C41" s="147" t="s">
        <v>456</v>
      </c>
      <c r="D41" s="148"/>
      <c r="E41" s="149"/>
      <c r="F41" s="41">
        <v>164</v>
      </c>
      <c r="G41" s="143"/>
    </row>
    <row r="42" spans="2:7" ht="15" customHeight="1" x14ac:dyDescent="0.25">
      <c r="B42" s="146" t="s">
        <v>457</v>
      </c>
      <c r="C42" s="147" t="s">
        <v>458</v>
      </c>
      <c r="D42" s="148"/>
      <c r="E42" s="149"/>
      <c r="F42" s="41">
        <v>164</v>
      </c>
      <c r="G42" s="143"/>
    </row>
    <row r="43" spans="2:7" ht="15" customHeight="1" x14ac:dyDescent="0.25">
      <c r="B43" s="146" t="s">
        <v>459</v>
      </c>
      <c r="C43" s="147" t="s">
        <v>460</v>
      </c>
      <c r="D43" s="148"/>
      <c r="E43" s="149"/>
      <c r="F43" s="41">
        <v>164</v>
      </c>
      <c r="G43" s="143"/>
    </row>
    <row r="44" spans="2:7" ht="15" customHeight="1" x14ac:dyDescent="0.25">
      <c r="B44" s="146" t="s">
        <v>461</v>
      </c>
      <c r="C44" s="147" t="s">
        <v>462</v>
      </c>
      <c r="D44" s="148"/>
      <c r="E44" s="149"/>
      <c r="F44" s="41">
        <v>164</v>
      </c>
      <c r="G44" s="143"/>
    </row>
    <row r="45" spans="2:7" ht="15" customHeight="1" x14ac:dyDescent="0.25">
      <c r="B45" s="146" t="s">
        <v>463</v>
      </c>
      <c r="C45" s="147" t="s">
        <v>464</v>
      </c>
      <c r="D45" s="148"/>
      <c r="E45" s="149"/>
      <c r="F45" s="41">
        <v>164</v>
      </c>
      <c r="G45" s="143"/>
    </row>
    <row r="46" spans="2:7" ht="15" customHeight="1" x14ac:dyDescent="0.25">
      <c r="B46" s="151" t="s">
        <v>465</v>
      </c>
      <c r="C46" s="152" t="s">
        <v>466</v>
      </c>
      <c r="D46" s="152"/>
      <c r="E46" s="152"/>
      <c r="F46" s="41">
        <v>164</v>
      </c>
      <c r="G46" s="143"/>
    </row>
    <row r="47" spans="2:7" x14ac:dyDescent="0.25">
      <c r="B47" s="143"/>
      <c r="C47" s="143"/>
      <c r="D47" s="143"/>
      <c r="E47" s="143"/>
      <c r="F47" s="143" t="s">
        <v>184</v>
      </c>
      <c r="G47" s="143"/>
    </row>
    <row r="48" spans="2:7" x14ac:dyDescent="0.25">
      <c r="B48" s="153" t="s">
        <v>88</v>
      </c>
      <c r="C48" s="154"/>
      <c r="D48" s="154"/>
      <c r="E48" s="154"/>
      <c r="F48" s="155" t="s">
        <v>184</v>
      </c>
      <c r="G48" s="143"/>
    </row>
    <row r="49" spans="2:7" x14ac:dyDescent="0.25">
      <c r="B49" s="156" t="s">
        <v>467</v>
      </c>
      <c r="C49" s="152" t="s">
        <v>470</v>
      </c>
      <c r="D49" s="152"/>
      <c r="E49" s="152"/>
      <c r="F49" s="41">
        <v>557.6</v>
      </c>
      <c r="G49" s="157"/>
    </row>
    <row r="50" spans="2:7" x14ac:dyDescent="0.25">
      <c r="B50" s="156" t="s">
        <v>468</v>
      </c>
      <c r="C50" s="152" t="s">
        <v>471</v>
      </c>
      <c r="D50" s="152"/>
      <c r="E50" s="152"/>
      <c r="F50" s="41">
        <v>612.79999999999995</v>
      </c>
      <c r="G50" s="143"/>
    </row>
    <row r="51" spans="2:7" x14ac:dyDescent="0.25">
      <c r="B51" s="156" t="s">
        <v>469</v>
      </c>
      <c r="C51" s="152" t="s">
        <v>472</v>
      </c>
      <c r="D51" s="152"/>
      <c r="E51" s="152"/>
      <c r="F51" s="41">
        <v>796</v>
      </c>
      <c r="G51" s="143"/>
    </row>
    <row r="52" spans="2:7" x14ac:dyDescent="0.25">
      <c r="B52" s="156" t="s">
        <v>941</v>
      </c>
      <c r="C52" s="152" t="s">
        <v>944</v>
      </c>
      <c r="D52" s="152"/>
      <c r="E52" s="152"/>
      <c r="F52" s="41">
        <v>1115.2</v>
      </c>
      <c r="G52" s="143"/>
    </row>
    <row r="53" spans="2:7" x14ac:dyDescent="0.25">
      <c r="B53" s="156" t="s">
        <v>942</v>
      </c>
      <c r="C53" s="152" t="s">
        <v>945</v>
      </c>
      <c r="D53" s="152"/>
      <c r="E53" s="152"/>
      <c r="F53" s="41">
        <v>1224.8</v>
      </c>
      <c r="G53" s="143"/>
    </row>
    <row r="54" spans="2:7" x14ac:dyDescent="0.25">
      <c r="B54" s="156" t="s">
        <v>943</v>
      </c>
      <c r="C54" s="152" t="s">
        <v>946</v>
      </c>
      <c r="D54" s="152"/>
      <c r="E54" s="152"/>
      <c r="F54" s="41">
        <v>1590.4</v>
      </c>
      <c r="G54" s="143"/>
    </row>
    <row r="55" spans="2:7" x14ac:dyDescent="0.25">
      <c r="B55" s="104" t="s">
        <v>473</v>
      </c>
      <c r="C55" s="152" t="s">
        <v>940</v>
      </c>
      <c r="D55" s="152"/>
      <c r="E55" s="152"/>
      <c r="F55" s="41">
        <v>365.6</v>
      </c>
      <c r="G55" s="143"/>
    </row>
    <row r="56" spans="2:7" x14ac:dyDescent="0.25">
      <c r="B56" s="104" t="s">
        <v>474</v>
      </c>
      <c r="C56" s="152" t="s">
        <v>89</v>
      </c>
      <c r="D56" s="152"/>
      <c r="E56" s="152"/>
      <c r="F56" s="41">
        <v>393.6</v>
      </c>
      <c r="G56" s="143"/>
    </row>
    <row r="57" spans="2:7" ht="14.65" customHeight="1" x14ac:dyDescent="0.25">
      <c r="B57" s="104" t="s">
        <v>476</v>
      </c>
      <c r="C57" s="152" t="s">
        <v>90</v>
      </c>
      <c r="D57" s="152"/>
      <c r="E57" s="152"/>
      <c r="F57" s="41">
        <v>247.2</v>
      </c>
      <c r="G57" s="143"/>
    </row>
    <row r="58" spans="2:7" x14ac:dyDescent="0.25">
      <c r="B58" s="104" t="s">
        <v>475</v>
      </c>
      <c r="C58" s="152" t="s">
        <v>91</v>
      </c>
      <c r="D58" s="152"/>
      <c r="E58" s="152"/>
      <c r="F58" s="41">
        <v>247.2</v>
      </c>
      <c r="G58" s="143"/>
    </row>
    <row r="59" spans="2:7" x14ac:dyDescent="0.25">
      <c r="B59" s="156" t="s">
        <v>879</v>
      </c>
      <c r="C59" s="152" t="s">
        <v>878</v>
      </c>
      <c r="D59" s="152"/>
      <c r="E59" s="152"/>
      <c r="F59" s="70" t="s">
        <v>129</v>
      </c>
      <c r="G59" s="143"/>
    </row>
    <row r="60" spans="2:7" x14ac:dyDescent="0.25">
      <c r="B60" s="150"/>
      <c r="C60" s="106"/>
      <c r="D60" s="106"/>
      <c r="E60" s="106"/>
      <c r="F60" s="58"/>
      <c r="G60" s="143"/>
    </row>
    <row r="61" spans="2:7" x14ac:dyDescent="0.25">
      <c r="B61" s="107" t="s">
        <v>483</v>
      </c>
      <c r="C61" s="108"/>
      <c r="D61" s="108"/>
      <c r="E61" s="108"/>
      <c r="F61" s="52"/>
      <c r="G61" s="143"/>
    </row>
    <row r="62" spans="2:7" x14ac:dyDescent="0.25">
      <c r="B62" s="104" t="s">
        <v>477</v>
      </c>
      <c r="C62" s="152" t="s">
        <v>484</v>
      </c>
      <c r="D62" s="152"/>
      <c r="E62" s="152"/>
      <c r="F62" s="41">
        <v>164</v>
      </c>
      <c r="G62" s="143"/>
    </row>
    <row r="63" spans="2:7" x14ac:dyDescent="0.25">
      <c r="B63" s="104" t="s">
        <v>478</v>
      </c>
      <c r="C63" s="152" t="s">
        <v>485</v>
      </c>
      <c r="D63" s="152"/>
      <c r="E63" s="152"/>
      <c r="F63" s="41">
        <v>164</v>
      </c>
      <c r="G63" s="143"/>
    </row>
    <row r="64" spans="2:7" x14ac:dyDescent="0.25">
      <c r="B64" s="104" t="s">
        <v>479</v>
      </c>
      <c r="C64" s="152" t="s">
        <v>486</v>
      </c>
      <c r="D64" s="152"/>
      <c r="E64" s="152"/>
      <c r="F64" s="41">
        <v>164</v>
      </c>
      <c r="G64" s="143"/>
    </row>
    <row r="65" spans="2:7" x14ac:dyDescent="0.25">
      <c r="B65" s="104" t="s">
        <v>480</v>
      </c>
      <c r="C65" s="152" t="s">
        <v>487</v>
      </c>
      <c r="D65" s="152"/>
      <c r="E65" s="152"/>
      <c r="F65" s="41">
        <v>164</v>
      </c>
      <c r="G65" s="143"/>
    </row>
    <row r="66" spans="2:7" x14ac:dyDescent="0.25">
      <c r="B66" s="104" t="s">
        <v>481</v>
      </c>
      <c r="C66" s="152" t="s">
        <v>488</v>
      </c>
      <c r="D66" s="152"/>
      <c r="E66" s="152"/>
      <c r="F66" s="41">
        <v>164</v>
      </c>
      <c r="G66" s="143"/>
    </row>
    <row r="67" spans="2:7" x14ac:dyDescent="0.25">
      <c r="B67" s="104" t="s">
        <v>482</v>
      </c>
      <c r="C67" s="152" t="s">
        <v>489</v>
      </c>
      <c r="D67" s="152"/>
      <c r="E67" s="152"/>
      <c r="F67" s="41">
        <v>164</v>
      </c>
      <c r="G67" s="143"/>
    </row>
    <row r="68" spans="2:7" x14ac:dyDescent="0.25">
      <c r="B68" s="158"/>
      <c r="C68" s="158"/>
      <c r="D68" s="158"/>
      <c r="E68" s="158"/>
      <c r="F68" s="91" t="s">
        <v>184</v>
      </c>
      <c r="G68" s="143"/>
    </row>
    <row r="69" spans="2:7" x14ac:dyDescent="0.25">
      <c r="B69" s="134" t="s">
        <v>92</v>
      </c>
      <c r="C69" s="135"/>
      <c r="D69" s="135"/>
      <c r="E69" s="135"/>
      <c r="F69" s="136" t="s">
        <v>184</v>
      </c>
      <c r="G69" s="143"/>
    </row>
    <row r="70" spans="2:7" x14ac:dyDescent="0.25">
      <c r="B70" s="83" t="s">
        <v>565</v>
      </c>
      <c r="C70" s="152" t="s">
        <v>174</v>
      </c>
      <c r="D70" s="152"/>
      <c r="E70" s="152"/>
      <c r="F70" s="41">
        <v>987.2</v>
      </c>
      <c r="G70" s="157"/>
    </row>
    <row r="71" spans="2:7" x14ac:dyDescent="0.25">
      <c r="B71" s="83" t="s">
        <v>566</v>
      </c>
      <c r="C71" s="152" t="s">
        <v>171</v>
      </c>
      <c r="D71" s="152"/>
      <c r="E71" s="152"/>
      <c r="F71" s="41">
        <v>1106.4000000000001</v>
      </c>
      <c r="G71" s="143"/>
    </row>
    <row r="72" spans="2:7" x14ac:dyDescent="0.25">
      <c r="B72" s="83" t="s">
        <v>567</v>
      </c>
      <c r="C72" s="152" t="s">
        <v>568</v>
      </c>
      <c r="D72" s="152"/>
      <c r="E72" s="152"/>
      <c r="F72" s="41">
        <v>685.6</v>
      </c>
      <c r="G72" s="143"/>
    </row>
    <row r="73" spans="2:7" x14ac:dyDescent="0.25">
      <c r="B73" s="159"/>
      <c r="C73" s="159"/>
      <c r="D73" s="159"/>
      <c r="E73" s="159"/>
      <c r="F73" s="159" t="s">
        <v>184</v>
      </c>
      <c r="G73" s="143"/>
    </row>
    <row r="74" spans="2:7" x14ac:dyDescent="0.25">
      <c r="B74" s="153" t="s">
        <v>820</v>
      </c>
      <c r="C74" s="154"/>
      <c r="D74" s="154"/>
      <c r="E74" s="154"/>
      <c r="F74" s="155" t="s">
        <v>184</v>
      </c>
      <c r="G74" s="143"/>
    </row>
    <row r="75" spans="2:7" x14ac:dyDescent="0.25">
      <c r="B75" s="156" t="s">
        <v>773</v>
      </c>
      <c r="C75" s="152" t="s">
        <v>771</v>
      </c>
      <c r="D75" s="152"/>
      <c r="E75" s="152"/>
      <c r="F75" s="41">
        <v>950.4</v>
      </c>
      <c r="G75" s="28"/>
    </row>
    <row r="76" spans="2:7" x14ac:dyDescent="0.25">
      <c r="B76" s="156" t="s">
        <v>774</v>
      </c>
      <c r="C76" s="152" t="s">
        <v>770</v>
      </c>
      <c r="D76" s="152"/>
      <c r="E76" s="152"/>
      <c r="F76" s="41">
        <v>1708.8</v>
      </c>
      <c r="G76" s="143"/>
    </row>
    <row r="77" spans="2:7" x14ac:dyDescent="0.25">
      <c r="B77" s="156" t="s">
        <v>775</v>
      </c>
      <c r="C77" s="152" t="s">
        <v>36</v>
      </c>
      <c r="D77" s="152"/>
      <c r="E77" s="152"/>
      <c r="F77" s="41">
        <v>1179.2</v>
      </c>
      <c r="G77" s="143"/>
    </row>
    <row r="78" spans="2:7" x14ac:dyDescent="0.25">
      <c r="B78" s="156" t="s">
        <v>776</v>
      </c>
      <c r="C78" s="152" t="s">
        <v>895</v>
      </c>
      <c r="D78" s="152"/>
      <c r="E78" s="152"/>
      <c r="F78" s="41">
        <v>1644.8</v>
      </c>
      <c r="G78" s="143"/>
    </row>
    <row r="79" spans="2:7" x14ac:dyDescent="0.25">
      <c r="B79" s="160"/>
      <c r="C79" s="161"/>
      <c r="D79" s="162"/>
      <c r="E79" s="163"/>
      <c r="F79" s="91"/>
      <c r="G79" s="143"/>
    </row>
    <row r="80" spans="2:7" x14ac:dyDescent="0.25">
      <c r="B80" s="153" t="s">
        <v>93</v>
      </c>
      <c r="C80" s="164"/>
      <c r="D80" s="164"/>
      <c r="E80" s="164"/>
      <c r="F80" s="165" t="s">
        <v>184</v>
      </c>
      <c r="G80" s="143"/>
    </row>
    <row r="81" spans="2:7" x14ac:dyDescent="0.25">
      <c r="B81" s="156" t="s">
        <v>94</v>
      </c>
      <c r="C81" s="152" t="s">
        <v>177</v>
      </c>
      <c r="D81" s="152"/>
      <c r="E81" s="152"/>
      <c r="F81" s="41">
        <v>475.2</v>
      </c>
      <c r="G81" s="143"/>
    </row>
    <row r="82" spans="2:7" x14ac:dyDescent="0.25">
      <c r="B82" s="156" t="s">
        <v>95</v>
      </c>
      <c r="C82" s="152" t="s">
        <v>178</v>
      </c>
      <c r="D82" s="152"/>
      <c r="E82" s="152"/>
      <c r="F82" s="41">
        <v>521.6</v>
      </c>
      <c r="G82" s="143"/>
    </row>
    <row r="83" spans="2:7" x14ac:dyDescent="0.25">
      <c r="B83" s="156" t="s">
        <v>938</v>
      </c>
      <c r="C83" s="152" t="s">
        <v>939</v>
      </c>
      <c r="D83" s="152"/>
      <c r="E83" s="152"/>
      <c r="F83" s="41"/>
      <c r="G83" s="143"/>
    </row>
    <row r="84" spans="2:7" x14ac:dyDescent="0.25">
      <c r="B84" s="156" t="s">
        <v>96</v>
      </c>
      <c r="C84" s="152" t="s">
        <v>97</v>
      </c>
      <c r="D84" s="152"/>
      <c r="E84" s="152"/>
      <c r="F84" s="41">
        <v>1088</v>
      </c>
      <c r="G84" s="143"/>
    </row>
    <row r="85" spans="2:7" x14ac:dyDescent="0.25">
      <c r="B85" s="160"/>
      <c r="C85" s="166"/>
      <c r="D85" s="166"/>
      <c r="E85" s="166"/>
      <c r="F85" s="91"/>
      <c r="G85" s="143"/>
    </row>
    <row r="86" spans="2:7" x14ac:dyDescent="0.25">
      <c r="B86" s="134" t="s">
        <v>824</v>
      </c>
      <c r="C86" s="135"/>
      <c r="D86" s="135"/>
      <c r="E86" s="135"/>
      <c r="F86" s="136"/>
      <c r="G86" s="143"/>
    </row>
    <row r="87" spans="2:7" x14ac:dyDescent="0.25">
      <c r="B87" s="156" t="s">
        <v>545</v>
      </c>
      <c r="C87" s="152" t="s">
        <v>555</v>
      </c>
      <c r="D87" s="152"/>
      <c r="E87" s="152"/>
      <c r="F87" s="41">
        <v>740.8</v>
      </c>
      <c r="G87" s="143"/>
    </row>
    <row r="88" spans="2:7" x14ac:dyDescent="0.25">
      <c r="B88" s="156" t="s">
        <v>546</v>
      </c>
      <c r="C88" s="152" t="s">
        <v>556</v>
      </c>
      <c r="D88" s="152"/>
      <c r="E88" s="152"/>
      <c r="F88" s="41">
        <v>796</v>
      </c>
      <c r="G88" s="143"/>
    </row>
    <row r="89" spans="2:7" x14ac:dyDescent="0.25">
      <c r="B89" s="156" t="s">
        <v>547</v>
      </c>
      <c r="C89" s="152" t="s">
        <v>557</v>
      </c>
      <c r="D89" s="152"/>
      <c r="E89" s="152"/>
      <c r="F89" s="41">
        <v>1143.2</v>
      </c>
      <c r="G89" s="143"/>
    </row>
    <row r="90" spans="2:7" x14ac:dyDescent="0.25">
      <c r="B90" s="156" t="s">
        <v>548</v>
      </c>
      <c r="C90" s="152" t="s">
        <v>558</v>
      </c>
      <c r="D90" s="152"/>
      <c r="E90" s="152"/>
      <c r="F90" s="41">
        <v>1169.5999999999999</v>
      </c>
      <c r="G90" s="143"/>
    </row>
    <row r="91" spans="2:7" x14ac:dyDescent="0.25">
      <c r="B91" s="156" t="s">
        <v>549</v>
      </c>
      <c r="C91" s="152" t="s">
        <v>559</v>
      </c>
      <c r="D91" s="152"/>
      <c r="E91" s="152"/>
      <c r="F91" s="41">
        <v>1535.2</v>
      </c>
      <c r="G91" s="143"/>
    </row>
    <row r="92" spans="2:7" x14ac:dyDescent="0.25">
      <c r="B92" s="156" t="s">
        <v>550</v>
      </c>
      <c r="C92" s="152" t="s">
        <v>560</v>
      </c>
      <c r="D92" s="152"/>
      <c r="E92" s="152"/>
      <c r="F92" s="41">
        <v>1558.4</v>
      </c>
      <c r="G92" s="143"/>
    </row>
    <row r="93" spans="2:7" x14ac:dyDescent="0.25">
      <c r="B93" s="156" t="s">
        <v>551</v>
      </c>
      <c r="C93" s="152" t="s">
        <v>561</v>
      </c>
      <c r="D93" s="152"/>
      <c r="E93" s="152"/>
      <c r="F93" s="41">
        <v>1972.8</v>
      </c>
      <c r="G93" s="143"/>
    </row>
    <row r="94" spans="2:7" x14ac:dyDescent="0.25">
      <c r="B94" s="156" t="s">
        <v>552</v>
      </c>
      <c r="C94" s="152" t="s">
        <v>562</v>
      </c>
      <c r="D94" s="152"/>
      <c r="E94" s="152"/>
      <c r="F94" s="41">
        <v>1972.8</v>
      </c>
      <c r="G94" s="143"/>
    </row>
    <row r="95" spans="2:7" x14ac:dyDescent="0.25">
      <c r="B95" s="156" t="s">
        <v>553</v>
      </c>
      <c r="C95" s="152" t="s">
        <v>563</v>
      </c>
      <c r="D95" s="152"/>
      <c r="E95" s="152"/>
      <c r="F95" s="41">
        <v>2388</v>
      </c>
      <c r="G95" s="143"/>
    </row>
    <row r="96" spans="2:7" x14ac:dyDescent="0.25">
      <c r="B96" s="167" t="s">
        <v>554</v>
      </c>
      <c r="C96" s="152" t="s">
        <v>564</v>
      </c>
      <c r="D96" s="152"/>
      <c r="E96" s="152"/>
      <c r="F96" s="74">
        <v>2444.8000000000002</v>
      </c>
      <c r="G96" s="143"/>
    </row>
    <row r="97" spans="1:8" x14ac:dyDescent="0.25">
      <c r="B97" s="168"/>
      <c r="C97" s="169"/>
      <c r="D97" s="169"/>
      <c r="E97" s="169"/>
      <c r="F97" s="170"/>
      <c r="G97" s="143"/>
    </row>
    <row r="98" spans="1:8" x14ac:dyDescent="0.25">
      <c r="B98" s="134" t="s">
        <v>494</v>
      </c>
      <c r="C98" s="135"/>
      <c r="D98" s="135"/>
      <c r="E98" s="135"/>
      <c r="F98" s="136"/>
    </row>
    <row r="99" spans="1:8" x14ac:dyDescent="0.25">
      <c r="B99" s="172" t="s">
        <v>830</v>
      </c>
      <c r="C99" s="62"/>
      <c r="D99" s="173"/>
      <c r="E99" s="173"/>
      <c r="F99" s="174"/>
      <c r="G99" s="143"/>
    </row>
    <row r="100" spans="1:8" x14ac:dyDescent="0.25">
      <c r="B100" s="175" t="s">
        <v>495</v>
      </c>
      <c r="C100" s="152" t="s">
        <v>505</v>
      </c>
      <c r="D100" s="152"/>
      <c r="E100" s="152"/>
      <c r="F100" s="176">
        <v>1992</v>
      </c>
      <c r="G100" s="143"/>
    </row>
    <row r="101" spans="1:8" x14ac:dyDescent="0.25">
      <c r="B101" s="156" t="s">
        <v>496</v>
      </c>
      <c r="C101" s="152" t="s">
        <v>506</v>
      </c>
      <c r="D101" s="152"/>
      <c r="E101" s="152"/>
      <c r="F101" s="176">
        <v>2203.1999999999998</v>
      </c>
      <c r="G101" s="177"/>
      <c r="H101" s="75"/>
    </row>
    <row r="102" spans="1:8" x14ac:dyDescent="0.25">
      <c r="B102" s="156" t="s">
        <v>497</v>
      </c>
      <c r="C102" s="152" t="s">
        <v>507</v>
      </c>
      <c r="D102" s="152"/>
      <c r="E102" s="152"/>
      <c r="F102" s="176">
        <v>2367.1999999999998</v>
      </c>
      <c r="G102" s="177"/>
      <c r="H102" s="75"/>
    </row>
    <row r="103" spans="1:8" x14ac:dyDescent="0.25">
      <c r="B103" s="156" t="s">
        <v>498</v>
      </c>
      <c r="C103" s="152" t="s">
        <v>508</v>
      </c>
      <c r="D103" s="152"/>
      <c r="E103" s="152"/>
      <c r="F103" s="176">
        <v>2512.8000000000002</v>
      </c>
      <c r="G103" s="177"/>
      <c r="H103" s="75"/>
    </row>
    <row r="104" spans="1:8" x14ac:dyDescent="0.25">
      <c r="B104" s="156" t="s">
        <v>499</v>
      </c>
      <c r="C104" s="152" t="s">
        <v>509</v>
      </c>
      <c r="D104" s="152"/>
      <c r="E104" s="152"/>
      <c r="F104" s="176">
        <v>2805.6</v>
      </c>
      <c r="G104" s="177"/>
      <c r="H104" s="75"/>
    </row>
    <row r="105" spans="1:8" x14ac:dyDescent="0.25">
      <c r="B105" s="156" t="s">
        <v>500</v>
      </c>
      <c r="C105" s="152" t="s">
        <v>510</v>
      </c>
      <c r="D105" s="152"/>
      <c r="E105" s="152"/>
      <c r="F105" s="176">
        <v>3134.4</v>
      </c>
      <c r="G105" s="177"/>
      <c r="H105" s="75"/>
    </row>
    <row r="106" spans="1:8" x14ac:dyDescent="0.25">
      <c r="B106" s="156" t="s">
        <v>501</v>
      </c>
      <c r="C106" s="152" t="s">
        <v>511</v>
      </c>
      <c r="D106" s="152"/>
      <c r="E106" s="152"/>
      <c r="F106" s="176">
        <v>3545.6</v>
      </c>
      <c r="G106" s="177"/>
      <c r="H106" s="75"/>
    </row>
    <row r="107" spans="1:8" x14ac:dyDescent="0.25">
      <c r="A107" s="178"/>
      <c r="B107" s="156" t="s">
        <v>502</v>
      </c>
      <c r="C107" s="152" t="s">
        <v>512</v>
      </c>
      <c r="D107" s="152"/>
      <c r="E107" s="152"/>
      <c r="F107" s="176">
        <v>4002.4</v>
      </c>
      <c r="G107" s="177"/>
      <c r="H107" s="75"/>
    </row>
    <row r="108" spans="1:8" x14ac:dyDescent="0.25">
      <c r="A108" s="178"/>
      <c r="B108" s="156" t="s">
        <v>503</v>
      </c>
      <c r="C108" s="152" t="s">
        <v>513</v>
      </c>
      <c r="D108" s="152"/>
      <c r="E108" s="152"/>
      <c r="F108" s="176">
        <v>4212.8</v>
      </c>
      <c r="G108" s="177"/>
      <c r="H108" s="75"/>
    </row>
    <row r="109" spans="1:8" x14ac:dyDescent="0.25">
      <c r="A109" s="178"/>
      <c r="B109" s="156" t="s">
        <v>504</v>
      </c>
      <c r="C109" s="152" t="s">
        <v>514</v>
      </c>
      <c r="D109" s="152"/>
      <c r="E109" s="152"/>
      <c r="F109" s="176">
        <v>4368</v>
      </c>
      <c r="G109" s="177"/>
      <c r="H109" s="75"/>
    </row>
    <row r="110" spans="1:8" x14ac:dyDescent="0.25">
      <c r="A110" s="178"/>
      <c r="B110" s="56"/>
      <c r="C110" s="106"/>
      <c r="D110" s="106"/>
      <c r="E110" s="106"/>
      <c r="F110" s="58"/>
      <c r="G110" s="177"/>
      <c r="H110" s="75"/>
    </row>
    <row r="111" spans="1:8" x14ac:dyDescent="0.25">
      <c r="A111" s="178"/>
      <c r="B111" s="107" t="s">
        <v>828</v>
      </c>
      <c r="C111" s="108"/>
      <c r="D111" s="108"/>
      <c r="E111" s="108"/>
      <c r="F111" s="52"/>
      <c r="G111" s="177"/>
      <c r="H111" s="75"/>
    </row>
    <row r="112" spans="1:8" x14ac:dyDescent="0.25">
      <c r="A112" s="178"/>
      <c r="B112" s="156" t="s">
        <v>525</v>
      </c>
      <c r="C112" s="152" t="s">
        <v>515</v>
      </c>
      <c r="D112" s="152"/>
      <c r="E112" s="152"/>
      <c r="F112" s="179">
        <v>2252.8000000000002</v>
      </c>
      <c r="G112" s="177"/>
      <c r="H112" s="75"/>
    </row>
    <row r="113" spans="1:8" x14ac:dyDescent="0.25">
      <c r="A113" s="178"/>
      <c r="B113" s="156" t="s">
        <v>526</v>
      </c>
      <c r="C113" s="152" t="s">
        <v>516</v>
      </c>
      <c r="D113" s="152"/>
      <c r="E113" s="152"/>
      <c r="F113" s="179">
        <v>2464</v>
      </c>
      <c r="G113" s="177"/>
      <c r="H113" s="75"/>
    </row>
    <row r="114" spans="1:8" x14ac:dyDescent="0.25">
      <c r="A114" s="178"/>
      <c r="B114" s="156" t="s">
        <v>527</v>
      </c>
      <c r="C114" s="152" t="s">
        <v>517</v>
      </c>
      <c r="D114" s="152"/>
      <c r="E114" s="152"/>
      <c r="F114" s="179">
        <v>2628</v>
      </c>
      <c r="G114" s="177"/>
      <c r="H114" s="75"/>
    </row>
    <row r="115" spans="1:8" x14ac:dyDescent="0.25">
      <c r="A115" s="178"/>
      <c r="B115" s="156" t="s">
        <v>528</v>
      </c>
      <c r="C115" s="152" t="s">
        <v>518</v>
      </c>
      <c r="D115" s="152"/>
      <c r="E115" s="152"/>
      <c r="F115" s="179">
        <v>2773.6</v>
      </c>
      <c r="G115" s="177"/>
      <c r="H115" s="75"/>
    </row>
    <row r="116" spans="1:8" x14ac:dyDescent="0.25">
      <c r="A116" s="178"/>
      <c r="B116" s="156" t="s">
        <v>529</v>
      </c>
      <c r="C116" s="152" t="s">
        <v>519</v>
      </c>
      <c r="D116" s="152"/>
      <c r="E116" s="152"/>
      <c r="F116" s="179">
        <v>3066.4</v>
      </c>
      <c r="G116" s="177"/>
      <c r="H116" s="75"/>
    </row>
    <row r="117" spans="1:8" x14ac:dyDescent="0.25">
      <c r="A117" s="178"/>
      <c r="B117" s="156" t="s">
        <v>530</v>
      </c>
      <c r="C117" s="152" t="s">
        <v>520</v>
      </c>
      <c r="D117" s="152"/>
      <c r="E117" s="152"/>
      <c r="F117" s="179">
        <v>3395.2</v>
      </c>
      <c r="G117" s="177"/>
      <c r="H117" s="75"/>
    </row>
    <row r="118" spans="1:8" x14ac:dyDescent="0.25">
      <c r="A118" s="178"/>
      <c r="B118" s="156" t="s">
        <v>531</v>
      </c>
      <c r="C118" s="152" t="s">
        <v>521</v>
      </c>
      <c r="D118" s="152"/>
      <c r="E118" s="152"/>
      <c r="F118" s="179">
        <v>3806.4</v>
      </c>
      <c r="G118" s="177"/>
      <c r="H118" s="75"/>
    </row>
    <row r="119" spans="1:8" x14ac:dyDescent="0.25">
      <c r="A119" s="178"/>
      <c r="B119" s="156" t="s">
        <v>532</v>
      </c>
      <c r="C119" s="152" t="s">
        <v>522</v>
      </c>
      <c r="D119" s="152"/>
      <c r="E119" s="152"/>
      <c r="F119" s="179">
        <v>4263.2</v>
      </c>
      <c r="G119" s="177"/>
      <c r="H119" s="75"/>
    </row>
    <row r="120" spans="1:8" x14ac:dyDescent="0.25">
      <c r="A120" s="178"/>
      <c r="B120" s="156" t="s">
        <v>533</v>
      </c>
      <c r="C120" s="152" t="s">
        <v>523</v>
      </c>
      <c r="D120" s="152"/>
      <c r="E120" s="152"/>
      <c r="F120" s="179">
        <v>4821.6000000000004</v>
      </c>
      <c r="G120" s="177"/>
      <c r="H120" s="75"/>
    </row>
    <row r="121" spans="1:8" x14ac:dyDescent="0.25">
      <c r="A121" s="178"/>
      <c r="B121" s="156" t="s">
        <v>534</v>
      </c>
      <c r="C121" s="152" t="s">
        <v>524</v>
      </c>
      <c r="D121" s="152"/>
      <c r="E121" s="152"/>
      <c r="F121" s="179">
        <v>4976.8</v>
      </c>
      <c r="G121" s="177"/>
      <c r="H121" s="75"/>
    </row>
    <row r="122" spans="1:8" x14ac:dyDescent="0.25">
      <c r="A122" s="178"/>
      <c r="B122" s="150"/>
      <c r="C122" s="106"/>
      <c r="D122" s="106"/>
      <c r="E122" s="106"/>
      <c r="F122" s="58"/>
      <c r="G122" s="177"/>
      <c r="H122" s="75"/>
    </row>
    <row r="123" spans="1:8" x14ac:dyDescent="0.25">
      <c r="A123" s="178"/>
      <c r="B123" s="107" t="s">
        <v>829</v>
      </c>
      <c r="C123" s="108"/>
      <c r="D123" s="108"/>
      <c r="E123" s="108"/>
      <c r="F123" s="52"/>
      <c r="G123" s="177"/>
      <c r="H123" s="75"/>
    </row>
    <row r="124" spans="1:8" x14ac:dyDescent="0.25">
      <c r="A124" s="178"/>
      <c r="B124" s="156" t="s">
        <v>535</v>
      </c>
      <c r="C124" s="152" t="s">
        <v>98</v>
      </c>
      <c r="D124" s="152"/>
      <c r="E124" s="152"/>
      <c r="F124" s="179">
        <v>2861.6</v>
      </c>
      <c r="G124" s="177"/>
      <c r="H124" s="75"/>
    </row>
    <row r="125" spans="1:8" x14ac:dyDescent="0.25">
      <c r="A125" s="178"/>
      <c r="B125" s="156" t="s">
        <v>536</v>
      </c>
      <c r="C125" s="152" t="s">
        <v>99</v>
      </c>
      <c r="D125" s="152"/>
      <c r="E125" s="152"/>
      <c r="F125" s="179">
        <v>3072.8</v>
      </c>
      <c r="G125" s="177"/>
      <c r="H125" s="75"/>
    </row>
    <row r="126" spans="1:8" x14ac:dyDescent="0.25">
      <c r="A126" s="178"/>
      <c r="B126" s="156" t="s">
        <v>537</v>
      </c>
      <c r="C126" s="152" t="s">
        <v>100</v>
      </c>
      <c r="D126" s="152"/>
      <c r="E126" s="152"/>
      <c r="F126" s="179">
        <v>3237.6</v>
      </c>
      <c r="G126" s="177"/>
      <c r="H126" s="75"/>
    </row>
    <row r="127" spans="1:8" x14ac:dyDescent="0.25">
      <c r="A127" s="178"/>
      <c r="B127" s="156" t="s">
        <v>538</v>
      </c>
      <c r="C127" s="152" t="s">
        <v>101</v>
      </c>
      <c r="D127" s="152"/>
      <c r="E127" s="152"/>
      <c r="F127" s="179">
        <v>3383.2</v>
      </c>
      <c r="G127" s="177"/>
      <c r="H127" s="75"/>
    </row>
    <row r="128" spans="1:8" x14ac:dyDescent="0.25">
      <c r="A128" s="178"/>
      <c r="B128" s="156" t="s">
        <v>539</v>
      </c>
      <c r="C128" s="152" t="s">
        <v>102</v>
      </c>
      <c r="D128" s="152"/>
      <c r="E128" s="152"/>
      <c r="F128" s="179">
        <v>3676</v>
      </c>
      <c r="G128" s="177"/>
      <c r="H128" s="75"/>
    </row>
    <row r="129" spans="1:8" x14ac:dyDescent="0.25">
      <c r="A129" s="178"/>
      <c r="B129" s="156" t="s">
        <v>540</v>
      </c>
      <c r="C129" s="152" t="s">
        <v>103</v>
      </c>
      <c r="D129" s="152"/>
      <c r="E129" s="152"/>
      <c r="F129" s="179">
        <v>4004.8</v>
      </c>
      <c r="G129" s="177"/>
      <c r="H129" s="75"/>
    </row>
    <row r="130" spans="1:8" x14ac:dyDescent="0.25">
      <c r="A130" s="178"/>
      <c r="B130" s="156" t="s">
        <v>541</v>
      </c>
      <c r="C130" s="152" t="s">
        <v>104</v>
      </c>
      <c r="D130" s="152"/>
      <c r="E130" s="152"/>
      <c r="F130" s="179">
        <v>4416</v>
      </c>
      <c r="G130" s="177"/>
      <c r="H130" s="75"/>
    </row>
    <row r="131" spans="1:8" x14ac:dyDescent="0.25">
      <c r="A131" s="178"/>
      <c r="B131" s="156" t="s">
        <v>542</v>
      </c>
      <c r="C131" s="152" t="s">
        <v>105</v>
      </c>
      <c r="D131" s="152"/>
      <c r="E131" s="152"/>
      <c r="F131" s="179">
        <v>4872.8</v>
      </c>
      <c r="G131" s="177"/>
      <c r="H131" s="75"/>
    </row>
    <row r="132" spans="1:8" x14ac:dyDescent="0.25">
      <c r="A132" s="178"/>
      <c r="B132" s="156" t="s">
        <v>543</v>
      </c>
      <c r="C132" s="152" t="s">
        <v>106</v>
      </c>
      <c r="D132" s="152"/>
      <c r="E132" s="152"/>
      <c r="F132" s="179">
        <v>5953.6</v>
      </c>
      <c r="G132" s="177"/>
      <c r="H132" s="75"/>
    </row>
    <row r="133" spans="1:8" x14ac:dyDescent="0.25">
      <c r="A133" s="178"/>
      <c r="B133" s="156" t="s">
        <v>544</v>
      </c>
      <c r="C133" s="152" t="s">
        <v>107</v>
      </c>
      <c r="D133" s="152"/>
      <c r="E133" s="152"/>
      <c r="F133" s="179">
        <v>6108</v>
      </c>
      <c r="G133" s="177"/>
      <c r="H133" s="75"/>
    </row>
    <row r="134" spans="1:8" x14ac:dyDescent="0.25">
      <c r="A134" s="178"/>
      <c r="B134" s="168"/>
      <c r="C134" s="169"/>
      <c r="D134" s="169"/>
      <c r="E134" s="169"/>
      <c r="F134" s="170"/>
      <c r="G134" s="177"/>
      <c r="H134" s="75"/>
    </row>
    <row r="135" spans="1:8" x14ac:dyDescent="0.25">
      <c r="A135" s="178"/>
      <c r="B135" s="134" t="s">
        <v>827</v>
      </c>
      <c r="C135" s="135"/>
      <c r="D135" s="135"/>
      <c r="E135" s="135"/>
      <c r="F135" s="136"/>
      <c r="G135" s="177"/>
      <c r="H135" s="75"/>
    </row>
    <row r="136" spans="1:8" x14ac:dyDescent="0.25">
      <c r="A136" s="178"/>
      <c r="B136" s="104" t="s">
        <v>826</v>
      </c>
      <c r="C136" s="152" t="s">
        <v>827</v>
      </c>
      <c r="D136" s="152"/>
      <c r="E136" s="152"/>
      <c r="F136" s="46" t="s">
        <v>129</v>
      </c>
      <c r="G136" s="177"/>
      <c r="H136" s="75"/>
    </row>
    <row r="137" spans="1:8" x14ac:dyDescent="0.25">
      <c r="A137" s="178"/>
      <c r="B137" s="168"/>
      <c r="C137" s="169"/>
      <c r="D137" s="169"/>
      <c r="E137" s="169"/>
      <c r="F137" s="170"/>
      <c r="G137" s="177"/>
      <c r="H137" s="75"/>
    </row>
    <row r="138" spans="1:8" x14ac:dyDescent="0.25">
      <c r="A138" s="178"/>
      <c r="B138" s="134" t="s">
        <v>493</v>
      </c>
      <c r="C138" s="135"/>
      <c r="D138" s="135"/>
      <c r="E138" s="135"/>
      <c r="F138" s="136" t="s">
        <v>184</v>
      </c>
      <c r="G138" s="177"/>
      <c r="H138" s="75"/>
    </row>
    <row r="139" spans="1:8" x14ac:dyDescent="0.25">
      <c r="B139" s="156" t="s">
        <v>108</v>
      </c>
      <c r="C139" s="152" t="s">
        <v>109</v>
      </c>
      <c r="D139" s="152"/>
      <c r="E139" s="152"/>
      <c r="F139" s="142">
        <v>137.6</v>
      </c>
      <c r="G139" s="180"/>
    </row>
    <row r="140" spans="1:8" x14ac:dyDescent="0.25">
      <c r="B140" s="156" t="s">
        <v>110</v>
      </c>
      <c r="C140" s="152" t="s">
        <v>111</v>
      </c>
      <c r="D140" s="152"/>
      <c r="E140" s="152"/>
      <c r="F140" s="142">
        <v>36</v>
      </c>
      <c r="G140" s="143"/>
    </row>
    <row r="141" spans="1:8" x14ac:dyDescent="0.25">
      <c r="B141" s="156" t="s">
        <v>112</v>
      </c>
      <c r="C141" s="152" t="s">
        <v>113</v>
      </c>
      <c r="D141" s="152"/>
      <c r="E141" s="152"/>
      <c r="F141" s="142">
        <v>41.6</v>
      </c>
      <c r="G141" s="143"/>
    </row>
    <row r="142" spans="1:8" x14ac:dyDescent="0.25">
      <c r="B142" s="156" t="s">
        <v>114</v>
      </c>
      <c r="C142" s="152" t="s">
        <v>115</v>
      </c>
      <c r="D142" s="152"/>
      <c r="E142" s="152"/>
      <c r="F142" s="142">
        <v>156</v>
      </c>
      <c r="G142" s="143"/>
    </row>
    <row r="143" spans="1:8" x14ac:dyDescent="0.25">
      <c r="B143" s="156" t="s">
        <v>880</v>
      </c>
      <c r="C143" s="152" t="s">
        <v>843</v>
      </c>
      <c r="D143" s="152"/>
      <c r="E143" s="152"/>
      <c r="F143" s="142">
        <v>12</v>
      </c>
      <c r="G143" s="143"/>
    </row>
    <row r="144" spans="1:8" x14ac:dyDescent="0.25">
      <c r="B144" s="156" t="s">
        <v>881</v>
      </c>
      <c r="C144" s="152" t="s">
        <v>844</v>
      </c>
      <c r="D144" s="152"/>
      <c r="E144" s="152"/>
      <c r="F144" s="142">
        <v>12</v>
      </c>
      <c r="G144" s="143"/>
    </row>
    <row r="145" spans="2:7" x14ac:dyDescent="0.25">
      <c r="B145" s="156" t="s">
        <v>962</v>
      </c>
      <c r="C145" s="152" t="s">
        <v>963</v>
      </c>
      <c r="D145" s="152"/>
      <c r="E145" s="152"/>
      <c r="F145" s="142">
        <v>6.4</v>
      </c>
      <c r="G145" s="143"/>
    </row>
    <row r="146" spans="2:7" x14ac:dyDescent="0.25">
      <c r="B146" s="156" t="s">
        <v>967</v>
      </c>
      <c r="C146" s="152" t="s">
        <v>968</v>
      </c>
      <c r="D146" s="152"/>
      <c r="E146" s="152"/>
      <c r="F146" s="142">
        <v>7.2</v>
      </c>
      <c r="G146" s="143"/>
    </row>
    <row r="147" spans="2:7" x14ac:dyDescent="0.25">
      <c r="B147" s="156" t="s">
        <v>969</v>
      </c>
      <c r="C147" s="152" t="s">
        <v>970</v>
      </c>
      <c r="D147" s="152"/>
      <c r="E147" s="152"/>
      <c r="F147" s="142">
        <v>16</v>
      </c>
      <c r="G147" s="143"/>
    </row>
    <row r="148" spans="2:7" x14ac:dyDescent="0.25">
      <c r="B148" s="156" t="s">
        <v>665</v>
      </c>
      <c r="C148" s="152" t="s">
        <v>179</v>
      </c>
      <c r="D148" s="152"/>
      <c r="E148" s="152"/>
      <c r="F148" s="142">
        <v>484.8</v>
      </c>
      <c r="G148" s="143"/>
    </row>
    <row r="149" spans="2:7" x14ac:dyDescent="0.25">
      <c r="B149" s="156" t="s">
        <v>671</v>
      </c>
      <c r="C149" s="152" t="s">
        <v>672</v>
      </c>
      <c r="D149" s="152"/>
      <c r="E149" s="152"/>
      <c r="F149" s="142">
        <v>1023.2</v>
      </c>
      <c r="G149" s="143"/>
    </row>
    <row r="150" spans="2:7" x14ac:dyDescent="0.25">
      <c r="B150" s="156" t="s">
        <v>841</v>
      </c>
      <c r="C150" s="152" t="s">
        <v>842</v>
      </c>
      <c r="D150" s="152"/>
      <c r="E150" s="152"/>
      <c r="F150" s="142">
        <v>1197.5999999999999</v>
      </c>
      <c r="G150" s="143"/>
    </row>
    <row r="151" spans="2:7" x14ac:dyDescent="0.25">
      <c r="B151" s="92"/>
      <c r="C151" s="181"/>
      <c r="D151" s="181"/>
      <c r="E151" s="181"/>
      <c r="F151" s="124"/>
      <c r="G151" s="182"/>
    </row>
    <row r="152" spans="2:7" x14ac:dyDescent="0.25">
      <c r="B152" s="183" t="s">
        <v>667</v>
      </c>
      <c r="C152" s="184" t="s">
        <v>82</v>
      </c>
      <c r="D152" s="185"/>
      <c r="E152" s="186"/>
      <c r="F152" s="142">
        <v>393.6</v>
      </c>
      <c r="G152" s="143"/>
    </row>
    <row r="153" spans="2:7" x14ac:dyDescent="0.25">
      <c r="B153" s="187" t="s">
        <v>668</v>
      </c>
      <c r="C153" s="188" t="s">
        <v>83</v>
      </c>
      <c r="D153" s="189"/>
      <c r="E153" s="190"/>
      <c r="F153" s="142">
        <v>328.8</v>
      </c>
      <c r="G153" s="143"/>
    </row>
    <row r="154" spans="2:7" x14ac:dyDescent="0.25">
      <c r="B154" s="143"/>
      <c r="C154" s="143"/>
      <c r="D154" s="143"/>
      <c r="E154" s="143"/>
      <c r="F154" s="42" t="s">
        <v>184</v>
      </c>
      <c r="G154" s="143"/>
    </row>
    <row r="155" spans="2:7" x14ac:dyDescent="0.25">
      <c r="B155" s="134" t="s">
        <v>116</v>
      </c>
      <c r="C155" s="135"/>
      <c r="D155" s="135"/>
      <c r="E155" s="135"/>
      <c r="F155" s="136" t="s">
        <v>184</v>
      </c>
      <c r="G155" s="143"/>
    </row>
    <row r="156" spans="2:7" x14ac:dyDescent="0.25">
      <c r="B156" s="172" t="s">
        <v>708</v>
      </c>
      <c r="C156" s="62"/>
      <c r="D156" s="173"/>
      <c r="E156" s="173"/>
      <c r="F156" s="174"/>
      <c r="G156" s="143"/>
    </row>
    <row r="157" spans="2:7" x14ac:dyDescent="0.25">
      <c r="B157" s="191" t="s">
        <v>674</v>
      </c>
      <c r="C157" s="152" t="s">
        <v>983</v>
      </c>
      <c r="D157" s="152"/>
      <c r="E157" s="152"/>
      <c r="F157" s="142">
        <v>648.79999999999995</v>
      </c>
      <c r="G157" s="143"/>
    </row>
    <row r="158" spans="2:7" x14ac:dyDescent="0.25">
      <c r="B158" s="191" t="s">
        <v>675</v>
      </c>
      <c r="C158" s="152" t="s">
        <v>984</v>
      </c>
      <c r="D158" s="152"/>
      <c r="E158" s="152"/>
      <c r="F158" s="142">
        <v>941.6</v>
      </c>
      <c r="G158" s="143"/>
    </row>
    <row r="159" spans="2:7" x14ac:dyDescent="0.25">
      <c r="B159" s="191" t="s">
        <v>676</v>
      </c>
      <c r="C159" s="152" t="s">
        <v>985</v>
      </c>
      <c r="D159" s="152"/>
      <c r="E159" s="152"/>
      <c r="F159" s="142">
        <v>1160.8</v>
      </c>
      <c r="G159" s="143"/>
    </row>
    <row r="160" spans="2:7" x14ac:dyDescent="0.25">
      <c r="B160" s="191" t="s">
        <v>677</v>
      </c>
      <c r="C160" s="152" t="s">
        <v>986</v>
      </c>
      <c r="D160" s="152"/>
      <c r="E160" s="152"/>
      <c r="F160" s="142">
        <v>1736</v>
      </c>
      <c r="G160" s="143"/>
    </row>
    <row r="161" spans="2:7" x14ac:dyDescent="0.25">
      <c r="B161" s="191" t="s">
        <v>678</v>
      </c>
      <c r="C161" s="152" t="s">
        <v>987</v>
      </c>
      <c r="D161" s="152"/>
      <c r="E161" s="152"/>
      <c r="F161" s="142">
        <v>2696</v>
      </c>
      <c r="G161" s="143"/>
    </row>
    <row r="162" spans="2:7" x14ac:dyDescent="0.25">
      <c r="B162" s="191" t="s">
        <v>679</v>
      </c>
      <c r="C162" s="152" t="s">
        <v>988</v>
      </c>
      <c r="D162" s="152"/>
      <c r="E162" s="152"/>
      <c r="F162" s="142">
        <v>3628</v>
      </c>
      <c r="G162" s="143"/>
    </row>
    <row r="163" spans="2:7" x14ac:dyDescent="0.25">
      <c r="B163" s="191" t="s">
        <v>680</v>
      </c>
      <c r="C163" s="152" t="s">
        <v>989</v>
      </c>
      <c r="D163" s="152"/>
      <c r="E163" s="152"/>
      <c r="F163" s="142">
        <v>5135.2</v>
      </c>
      <c r="G163" s="143"/>
    </row>
    <row r="164" spans="2:7" x14ac:dyDescent="0.25">
      <c r="B164" s="191" t="s">
        <v>681</v>
      </c>
      <c r="C164" s="152" t="s">
        <v>990</v>
      </c>
      <c r="D164" s="152"/>
      <c r="E164" s="152"/>
      <c r="F164" s="142">
        <v>6387.2</v>
      </c>
      <c r="G164" s="143"/>
    </row>
    <row r="165" spans="2:7" x14ac:dyDescent="0.25">
      <c r="B165" s="191" t="s">
        <v>682</v>
      </c>
      <c r="C165" s="152" t="s">
        <v>991</v>
      </c>
      <c r="D165" s="152"/>
      <c r="E165" s="152"/>
      <c r="F165" s="142">
        <v>9339.2000000000007</v>
      </c>
      <c r="G165" s="143"/>
    </row>
    <row r="166" spans="2:7" x14ac:dyDescent="0.25">
      <c r="B166" s="191" t="s">
        <v>683</v>
      </c>
      <c r="C166" s="152" t="s">
        <v>992</v>
      </c>
      <c r="D166" s="152"/>
      <c r="E166" s="152"/>
      <c r="F166" s="142">
        <v>10133.6</v>
      </c>
      <c r="G166" s="143"/>
    </row>
    <row r="167" spans="2:7" x14ac:dyDescent="0.25">
      <c r="B167" s="191" t="s">
        <v>930</v>
      </c>
      <c r="C167" s="152" t="s">
        <v>993</v>
      </c>
      <c r="D167" s="152"/>
      <c r="E167" s="152"/>
      <c r="F167" s="142">
        <v>11689.6</v>
      </c>
      <c r="G167" s="143"/>
    </row>
    <row r="168" spans="2:7" x14ac:dyDescent="0.25">
      <c r="B168" s="192"/>
      <c r="C168" s="106"/>
      <c r="D168" s="106"/>
      <c r="E168" s="106"/>
      <c r="F168" s="58"/>
      <c r="G168" s="143"/>
    </row>
    <row r="169" spans="2:7" x14ac:dyDescent="0.25">
      <c r="B169" s="193" t="s">
        <v>709</v>
      </c>
      <c r="C169" s="108"/>
      <c r="D169" s="108"/>
      <c r="E169" s="108"/>
      <c r="F169" s="52"/>
      <c r="G169" s="143"/>
    </row>
    <row r="170" spans="2:7" x14ac:dyDescent="0.25">
      <c r="B170" s="191" t="s">
        <v>684</v>
      </c>
      <c r="C170" s="194" t="s">
        <v>994</v>
      </c>
      <c r="D170" s="195"/>
      <c r="E170" s="196"/>
      <c r="F170" s="142">
        <v>2389.6</v>
      </c>
      <c r="G170" s="143"/>
    </row>
    <row r="171" spans="2:7" x14ac:dyDescent="0.25">
      <c r="B171" s="191" t="s">
        <v>685</v>
      </c>
      <c r="C171" s="194" t="s">
        <v>995</v>
      </c>
      <c r="D171" s="195"/>
      <c r="E171" s="196"/>
      <c r="F171" s="142">
        <v>2681.6</v>
      </c>
      <c r="G171" s="143"/>
    </row>
    <row r="172" spans="2:7" x14ac:dyDescent="0.25">
      <c r="B172" s="191" t="s">
        <v>686</v>
      </c>
      <c r="C172" s="194" t="s">
        <v>996</v>
      </c>
      <c r="D172" s="195"/>
      <c r="E172" s="196"/>
      <c r="F172" s="142">
        <v>2901.6</v>
      </c>
      <c r="G172" s="143"/>
    </row>
    <row r="173" spans="2:7" x14ac:dyDescent="0.25">
      <c r="B173" s="191" t="s">
        <v>687</v>
      </c>
      <c r="C173" s="194" t="s">
        <v>997</v>
      </c>
      <c r="D173" s="195"/>
      <c r="E173" s="196"/>
      <c r="F173" s="142">
        <v>3476.8</v>
      </c>
      <c r="G173" s="143"/>
    </row>
    <row r="174" spans="2:7" x14ac:dyDescent="0.25">
      <c r="B174" s="191" t="s">
        <v>688</v>
      </c>
      <c r="C174" s="194" t="s">
        <v>998</v>
      </c>
      <c r="D174" s="195"/>
      <c r="E174" s="196"/>
      <c r="F174" s="142">
        <v>4436.8</v>
      </c>
      <c r="G174" s="143"/>
    </row>
    <row r="175" spans="2:7" x14ac:dyDescent="0.25">
      <c r="B175" s="191" t="s">
        <v>689</v>
      </c>
      <c r="C175" s="194" t="s">
        <v>999</v>
      </c>
      <c r="D175" s="195"/>
      <c r="E175" s="196"/>
      <c r="F175" s="142">
        <v>5368</v>
      </c>
      <c r="G175" s="143"/>
    </row>
    <row r="176" spans="2:7" x14ac:dyDescent="0.25">
      <c r="B176" s="191" t="s">
        <v>690</v>
      </c>
      <c r="C176" s="194" t="s">
        <v>1000</v>
      </c>
      <c r="D176" s="195"/>
      <c r="E176" s="196"/>
      <c r="F176" s="142">
        <v>7311.2</v>
      </c>
      <c r="G176" s="143"/>
    </row>
    <row r="177" spans="1:8" x14ac:dyDescent="0.25">
      <c r="B177" s="191" t="s">
        <v>691</v>
      </c>
      <c r="C177" s="194" t="s">
        <v>1001</v>
      </c>
      <c r="D177" s="195"/>
      <c r="E177" s="196"/>
      <c r="F177" s="142">
        <v>8998.4</v>
      </c>
      <c r="G177" s="143"/>
    </row>
    <row r="178" spans="1:8" x14ac:dyDescent="0.25">
      <c r="B178" s="191" t="s">
        <v>928</v>
      </c>
      <c r="C178" s="194" t="s">
        <v>1002</v>
      </c>
      <c r="D178" s="195"/>
      <c r="E178" s="196"/>
      <c r="F178" s="142">
        <v>11949.6</v>
      </c>
      <c r="G178" s="143"/>
    </row>
    <row r="179" spans="1:8" x14ac:dyDescent="0.25">
      <c r="B179" s="191" t="s">
        <v>929</v>
      </c>
      <c r="C179" s="194" t="s">
        <v>1003</v>
      </c>
      <c r="D179" s="195"/>
      <c r="E179" s="196"/>
      <c r="F179" s="142">
        <v>12744.8</v>
      </c>
      <c r="G179" s="143"/>
    </row>
    <row r="180" spans="1:8" x14ac:dyDescent="0.25">
      <c r="B180" s="191" t="s">
        <v>931</v>
      </c>
      <c r="C180" s="194" t="s">
        <v>1004</v>
      </c>
      <c r="D180" s="195"/>
      <c r="E180" s="196"/>
      <c r="F180" s="142">
        <v>14300</v>
      </c>
      <c r="G180" s="143"/>
    </row>
    <row r="181" spans="1:8" x14ac:dyDescent="0.25">
      <c r="A181" s="178"/>
      <c r="B181" s="197"/>
      <c r="C181" s="198"/>
      <c r="D181" s="198"/>
      <c r="E181" s="198"/>
      <c r="F181" s="199"/>
      <c r="G181" s="177"/>
      <c r="H181" s="75"/>
    </row>
    <row r="182" spans="1:8" x14ac:dyDescent="0.25">
      <c r="B182" s="200" t="s">
        <v>670</v>
      </c>
      <c r="C182" s="201" t="s">
        <v>669</v>
      </c>
      <c r="D182" s="201"/>
      <c r="E182" s="201"/>
      <c r="F182" s="179">
        <v>608.79999999999995</v>
      </c>
      <c r="G182" s="143"/>
    </row>
    <row r="183" spans="1:8" x14ac:dyDescent="0.25">
      <c r="A183" s="178"/>
      <c r="B183" s="202"/>
      <c r="C183" s="203"/>
      <c r="D183" s="203"/>
      <c r="E183" s="203"/>
      <c r="F183" s="204"/>
      <c r="G183" s="177"/>
      <c r="H183" s="75"/>
    </row>
    <row r="184" spans="1:8" x14ac:dyDescent="0.25">
      <c r="B184" s="39" t="s">
        <v>490</v>
      </c>
      <c r="C184" s="205" t="s">
        <v>491</v>
      </c>
      <c r="D184" s="206"/>
      <c r="E184" s="207"/>
      <c r="F184" s="208" t="s">
        <v>129</v>
      </c>
      <c r="G184" s="143"/>
    </row>
    <row r="185" spans="1:8" x14ac:dyDescent="0.25">
      <c r="B185" s="39" t="s">
        <v>936</v>
      </c>
      <c r="C185" s="209" t="s">
        <v>937</v>
      </c>
      <c r="D185" s="210"/>
      <c r="E185" s="211"/>
      <c r="F185" s="208" t="s">
        <v>129</v>
      </c>
      <c r="G185" s="143"/>
    </row>
    <row r="186" spans="1:8" x14ac:dyDescent="0.25">
      <c r="B186" s="39" t="s">
        <v>932</v>
      </c>
      <c r="C186" s="205" t="s">
        <v>934</v>
      </c>
      <c r="D186" s="206"/>
      <c r="E186" s="207"/>
      <c r="F186" s="208" t="s">
        <v>129</v>
      </c>
      <c r="G186" s="143"/>
    </row>
    <row r="187" spans="1:8" x14ac:dyDescent="0.25">
      <c r="B187" s="202" t="s">
        <v>933</v>
      </c>
      <c r="C187" s="205" t="s">
        <v>935</v>
      </c>
      <c r="D187" s="206"/>
      <c r="E187" s="207"/>
      <c r="F187" s="208" t="s">
        <v>129</v>
      </c>
      <c r="G187" s="143"/>
    </row>
    <row r="188" spans="1:8" x14ac:dyDescent="0.25">
      <c r="B188" s="212" t="s">
        <v>673</v>
      </c>
      <c r="C188" s="205" t="s">
        <v>117</v>
      </c>
      <c r="D188" s="206"/>
      <c r="E188" s="207"/>
      <c r="F188" s="179">
        <v>46.4</v>
      </c>
      <c r="G188" s="143"/>
    </row>
    <row r="189" spans="1:8" x14ac:dyDescent="0.25">
      <c r="F189" s="171" t="s">
        <v>184</v>
      </c>
    </row>
    <row r="190" spans="1:8" x14ac:dyDescent="0.25">
      <c r="F190" s="171" t="s">
        <v>184</v>
      </c>
    </row>
  </sheetData>
  <sheetProtection algorithmName="SHA-512" hashValue="D5KHifyE2cEbLvKcg32S8WIjibX9xXEgskBigGUG+C5rfhAVC1xHeT6BytAPXK9wzXHeQculSJRJ2EEMf9bpdw==" saltValue="XgAwanS6cBJ4RYIIt5H9Kw==" spinCount="100000" sheet="1" objects="1" scenarios="1"/>
  <mergeCells count="139">
    <mergeCell ref="C186:E186"/>
    <mergeCell ref="C188:E188"/>
    <mergeCell ref="C76:E76"/>
    <mergeCell ref="C77:E77"/>
    <mergeCell ref="C79:E79"/>
    <mergeCell ref="C184:E184"/>
    <mergeCell ref="C174:E174"/>
    <mergeCell ref="C175:E175"/>
    <mergeCell ref="C176:E176"/>
    <mergeCell ref="C160:E160"/>
    <mergeCell ref="C161:E161"/>
    <mergeCell ref="C162:E162"/>
    <mergeCell ref="C163:E163"/>
    <mergeCell ref="C164:E164"/>
    <mergeCell ref="C165:E165"/>
    <mergeCell ref="C167:E167"/>
    <mergeCell ref="C170:E170"/>
    <mergeCell ref="C171:E171"/>
    <mergeCell ref="C172:E172"/>
    <mergeCell ref="C173:E173"/>
    <mergeCell ref="C180:E180"/>
    <mergeCell ref="C93:E93"/>
    <mergeCell ref="C94:E94"/>
    <mergeCell ref="C95:E95"/>
    <mergeCell ref="C14:E14"/>
    <mergeCell ref="C18:E18"/>
    <mergeCell ref="C19:E19"/>
    <mergeCell ref="C20:E20"/>
    <mergeCell ref="C21:E21"/>
    <mergeCell ref="C15:E15"/>
    <mergeCell ref="C12:E12"/>
    <mergeCell ref="C16:E16"/>
    <mergeCell ref="C13:E13"/>
    <mergeCell ref="C17:E17"/>
    <mergeCell ref="C22:E22"/>
    <mergeCell ref="C23:E23"/>
    <mergeCell ref="C157:E157"/>
    <mergeCell ref="C158:E158"/>
    <mergeCell ref="C159:E159"/>
    <mergeCell ref="C43:E43"/>
    <mergeCell ref="C44:E44"/>
    <mergeCell ref="C45:E45"/>
    <mergeCell ref="C46:E46"/>
    <mergeCell ref="C49:E49"/>
    <mergeCell ref="C50:E50"/>
    <mergeCell ref="C51:E51"/>
    <mergeCell ref="C55:E55"/>
    <mergeCell ref="C56:E56"/>
    <mergeCell ref="C57:E57"/>
    <mergeCell ref="C58:E58"/>
    <mergeCell ref="C75:E75"/>
    <mergeCell ref="C59:E59"/>
    <mergeCell ref="C62:E62"/>
    <mergeCell ref="C63:E63"/>
    <mergeCell ref="C64:E64"/>
    <mergeCell ref="C65:E6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7:E37"/>
    <mergeCell ref="C38:E38"/>
    <mergeCell ref="C39:E39"/>
    <mergeCell ref="C40:E40"/>
    <mergeCell ref="C41:E41"/>
    <mergeCell ref="C42:E42"/>
    <mergeCell ref="C78:E78"/>
    <mergeCell ref="C81:E81"/>
    <mergeCell ref="C82:E82"/>
    <mergeCell ref="C84:E84"/>
    <mergeCell ref="C87:E87"/>
    <mergeCell ref="C66:E66"/>
    <mergeCell ref="C67:E67"/>
    <mergeCell ref="C70:E70"/>
    <mergeCell ref="C71:E71"/>
    <mergeCell ref="C72:E72"/>
    <mergeCell ref="C118:E118"/>
    <mergeCell ref="C96:E96"/>
    <mergeCell ref="C100:E100"/>
    <mergeCell ref="C88:E88"/>
    <mergeCell ref="C89:E89"/>
    <mergeCell ref="C90:E90"/>
    <mergeCell ref="C91:E91"/>
    <mergeCell ref="C92:E92"/>
    <mergeCell ref="C106:E106"/>
    <mergeCell ref="C107:E107"/>
    <mergeCell ref="C113:E113"/>
    <mergeCell ref="C114:E114"/>
    <mergeCell ref="C115:E115"/>
    <mergeCell ref="C116:E116"/>
    <mergeCell ref="C117:E117"/>
    <mergeCell ref="C108:E108"/>
    <mergeCell ref="C109:E109"/>
    <mergeCell ref="C112:E112"/>
    <mergeCell ref="C101:E101"/>
    <mergeCell ref="C102:E102"/>
    <mergeCell ref="C103:E103"/>
    <mergeCell ref="C104:E104"/>
    <mergeCell ref="C105:E105"/>
    <mergeCell ref="C133:E133"/>
    <mergeCell ref="C136:E136"/>
    <mergeCell ref="C125:E125"/>
    <mergeCell ref="C126:E126"/>
    <mergeCell ref="C127:E127"/>
    <mergeCell ref="C128:E128"/>
    <mergeCell ref="C129:E129"/>
    <mergeCell ref="C119:E119"/>
    <mergeCell ref="C120:E120"/>
    <mergeCell ref="C121:E121"/>
    <mergeCell ref="C124:E124"/>
    <mergeCell ref="C177:E177"/>
    <mergeCell ref="C178:E178"/>
    <mergeCell ref="C166:E166"/>
    <mergeCell ref="C179:E179"/>
    <mergeCell ref="C187:E187"/>
    <mergeCell ref="C83:E83"/>
    <mergeCell ref="C54:E54"/>
    <mergeCell ref="C52:E52"/>
    <mergeCell ref="C53:E53"/>
    <mergeCell ref="C149:E149"/>
    <mergeCell ref="C150:E150"/>
    <mergeCell ref="C144:E144"/>
    <mergeCell ref="C145:E145"/>
    <mergeCell ref="C146:E146"/>
    <mergeCell ref="C147:E147"/>
    <mergeCell ref="C148:E148"/>
    <mergeCell ref="C139:E139"/>
    <mergeCell ref="C140:E140"/>
    <mergeCell ref="C141:E141"/>
    <mergeCell ref="C142:E142"/>
    <mergeCell ref="C143:E143"/>
    <mergeCell ref="C130:E130"/>
    <mergeCell ref="C131:E131"/>
    <mergeCell ref="C132:E132"/>
  </mergeCells>
  <phoneticPr fontId="7" type="noConversion"/>
  <conditionalFormatting sqref="B100:B109">
    <cfRule type="duplicateValues" dxfId="0" priority="3"/>
  </conditionalFormatting>
  <hyperlinks>
    <hyperlink ref="B7" r:id="rId1" xr:uid="{52EC2231-4919-4742-BD8F-3E77261F436A}"/>
    <hyperlink ref="B8" r:id="rId2" xr:uid="{F6262711-EDFE-4609-B99D-EDC3BE89A395}"/>
  </hyperlinks>
  <pageMargins left="0.70866141732283472" right="0.70866141732283472" top="0.74803149606299213" bottom="0.74803149606299213" header="0.31496062992125984" footer="0.31496062992125984"/>
  <pageSetup paperSize="9" scale="58" fitToHeight="0" orientation="portrait" r:id="rId3"/>
  <rowBreaks count="1" manualBreakCount="1">
    <brk id="114" max="6" man="1"/>
  </rowBrea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49EC-DE10-4CE6-9416-40929EA2B4C1}">
  <sheetPr codeName="Sheet3">
    <tabColor rgb="FF0070C0"/>
    <pageSetUpPr fitToPage="1"/>
  </sheetPr>
  <dimension ref="A1:H81"/>
  <sheetViews>
    <sheetView showGridLines="0" zoomScaleNormal="100" zoomScaleSheetLayoutView="100" workbookViewId="0">
      <pane ySplit="10" topLeftCell="A11" activePane="bottomLeft" state="frozen"/>
      <selection pane="bottomLeft" activeCell="J13" sqref="J13"/>
    </sheetView>
  </sheetViews>
  <sheetFormatPr defaultRowHeight="15" x14ac:dyDescent="0.25"/>
  <cols>
    <col min="1" max="1" width="5.7109375" style="1" customWidth="1"/>
    <col min="2" max="2" width="28.7109375" style="171" customWidth="1"/>
    <col min="3" max="3" width="14.7109375" style="171" customWidth="1"/>
    <col min="4" max="4" width="25.7109375" style="171" customWidth="1"/>
    <col min="5" max="5" width="48.7109375" style="171" customWidth="1"/>
    <col min="6" max="6" width="18.7109375" style="171" customWidth="1"/>
    <col min="7" max="7" width="5.7109375" style="171" customWidth="1"/>
    <col min="8" max="16384" width="9.140625" style="5"/>
  </cols>
  <sheetData>
    <row r="1" spans="2:7" ht="20.25" customHeight="1" x14ac:dyDescent="0.25">
      <c r="B1" s="2"/>
      <c r="C1" s="3"/>
      <c r="D1" s="3"/>
      <c r="E1" s="3"/>
      <c r="F1" s="3"/>
      <c r="G1" s="3"/>
    </row>
    <row r="2" spans="2:7" ht="30" customHeight="1" x14ac:dyDescent="0.25">
      <c r="B2" s="6" t="s">
        <v>898</v>
      </c>
      <c r="C2" s="7"/>
      <c r="D2" s="8"/>
      <c r="E2" s="8"/>
      <c r="F2" s="9"/>
      <c r="G2" s="9"/>
    </row>
    <row r="3" spans="2:7" ht="15" customHeight="1" x14ac:dyDescent="0.25">
      <c r="B3" s="10"/>
      <c r="C3" s="10"/>
      <c r="D3" s="10"/>
      <c r="E3" s="10"/>
      <c r="F3" s="10"/>
      <c r="G3" s="10"/>
    </row>
    <row r="4" spans="2:7" x14ac:dyDescent="0.25">
      <c r="B4" s="11" t="s">
        <v>0</v>
      </c>
      <c r="C4" s="12"/>
      <c r="D4" s="13" t="s">
        <v>1</v>
      </c>
      <c r="E4" s="14" t="s">
        <v>899</v>
      </c>
      <c r="F4" s="15"/>
      <c r="G4" s="16"/>
    </row>
    <row r="5" spans="2:7" x14ac:dyDescent="0.25">
      <c r="B5" s="11" t="s">
        <v>2</v>
      </c>
      <c r="C5" s="12"/>
      <c r="D5" s="13" t="s">
        <v>3</v>
      </c>
      <c r="E5" s="14" t="s">
        <v>900</v>
      </c>
      <c r="F5" s="15"/>
      <c r="G5" s="16"/>
    </row>
    <row r="6" spans="2:7" x14ac:dyDescent="0.25">
      <c r="B6" s="17" t="s">
        <v>4</v>
      </c>
      <c r="C6" s="18"/>
      <c r="D6" s="19" t="s">
        <v>5</v>
      </c>
      <c r="E6" s="127" t="str">
        <f>'SFC Interlocking'!E6</f>
        <v xml:space="preserve">EUR </v>
      </c>
      <c r="F6" s="21"/>
      <c r="G6" s="22"/>
    </row>
    <row r="7" spans="2:7" x14ac:dyDescent="0.25">
      <c r="B7" s="23" t="s">
        <v>897</v>
      </c>
      <c r="C7" s="24"/>
      <c r="D7" s="25" t="s">
        <v>6</v>
      </c>
      <c r="E7" s="127" t="str">
        <f>'SFC Interlocking'!E7</f>
        <v>Europe - SDIS</v>
      </c>
      <c r="F7" s="4"/>
      <c r="G7" s="16"/>
    </row>
    <row r="8" spans="2:7" x14ac:dyDescent="0.25">
      <c r="B8" s="23" t="s">
        <v>7</v>
      </c>
      <c r="C8" s="24"/>
      <c r="D8" s="25" t="s">
        <v>8</v>
      </c>
      <c r="E8" s="25" t="s">
        <v>845</v>
      </c>
      <c r="F8" s="4"/>
      <c r="G8" s="16"/>
    </row>
    <row r="10" spans="2:7" x14ac:dyDescent="0.25">
      <c r="B10" s="30" t="s">
        <v>9</v>
      </c>
      <c r="C10" s="31" t="s">
        <v>10</v>
      </c>
      <c r="D10" s="32"/>
      <c r="E10" s="33"/>
      <c r="F10" s="34" t="s">
        <v>11</v>
      </c>
      <c r="G10" s="133"/>
    </row>
    <row r="11" spans="2:7" x14ac:dyDescent="0.25">
      <c r="B11" s="134" t="s">
        <v>255</v>
      </c>
      <c r="C11" s="213"/>
      <c r="D11" s="213"/>
      <c r="E11" s="213"/>
      <c r="F11" s="214"/>
      <c r="G11" s="137"/>
    </row>
    <row r="12" spans="2:7" x14ac:dyDescent="0.25">
      <c r="B12" s="215" t="s">
        <v>976</v>
      </c>
      <c r="C12" s="139" t="s">
        <v>901</v>
      </c>
      <c r="D12" s="140"/>
      <c r="E12" s="141"/>
      <c r="F12" s="142">
        <v>1184.0999999999999</v>
      </c>
      <c r="G12" s="42"/>
    </row>
    <row r="13" spans="2:7" x14ac:dyDescent="0.25">
      <c r="B13" s="215" t="s">
        <v>977</v>
      </c>
      <c r="C13" s="139" t="s">
        <v>902</v>
      </c>
      <c r="D13" s="140"/>
      <c r="E13" s="141"/>
      <c r="F13" s="142">
        <v>1184.0999999999999</v>
      </c>
      <c r="G13" s="42"/>
    </row>
    <row r="14" spans="2:7" x14ac:dyDescent="0.25">
      <c r="B14" s="215" t="s">
        <v>978</v>
      </c>
      <c r="C14" s="139" t="s">
        <v>903</v>
      </c>
      <c r="D14" s="140"/>
      <c r="E14" s="141"/>
      <c r="F14" s="142">
        <v>971.6</v>
      </c>
      <c r="G14" s="42"/>
    </row>
    <row r="15" spans="2:7" x14ac:dyDescent="0.25">
      <c r="B15" s="215" t="s">
        <v>979</v>
      </c>
      <c r="C15" s="139" t="s">
        <v>904</v>
      </c>
      <c r="D15" s="140"/>
      <c r="E15" s="141"/>
      <c r="F15" s="142">
        <v>971.6</v>
      </c>
      <c r="G15" s="143"/>
    </row>
    <row r="16" spans="2:7" x14ac:dyDescent="0.25">
      <c r="B16" s="215" t="s">
        <v>975</v>
      </c>
      <c r="C16" s="147" t="s">
        <v>905</v>
      </c>
      <c r="D16" s="148"/>
      <c r="E16" s="149"/>
      <c r="F16" s="142">
        <v>680</v>
      </c>
      <c r="G16" s="143"/>
    </row>
    <row r="17" spans="2:7" x14ac:dyDescent="0.25">
      <c r="B17" s="216" t="s">
        <v>973</v>
      </c>
      <c r="C17" s="147" t="s">
        <v>906</v>
      </c>
      <c r="D17" s="148"/>
      <c r="E17" s="149"/>
      <c r="F17" s="142">
        <v>680</v>
      </c>
      <c r="G17" s="143"/>
    </row>
    <row r="18" spans="2:7" x14ac:dyDescent="0.25">
      <c r="B18" s="216" t="s">
        <v>974</v>
      </c>
      <c r="C18" s="147" t="s">
        <v>907</v>
      </c>
      <c r="D18" s="148"/>
      <c r="E18" s="149"/>
      <c r="F18" s="142">
        <v>680</v>
      </c>
      <c r="G18" s="143"/>
    </row>
    <row r="19" spans="2:7" x14ac:dyDescent="0.25">
      <c r="B19" s="215" t="s">
        <v>201</v>
      </c>
      <c r="C19" s="147" t="s">
        <v>200</v>
      </c>
      <c r="D19" s="148"/>
      <c r="E19" s="149"/>
      <c r="F19" s="142">
        <v>1462</v>
      </c>
      <c r="G19" s="143"/>
    </row>
    <row r="20" spans="2:7" ht="14.25" customHeight="1" x14ac:dyDescent="0.25">
      <c r="B20" s="217"/>
      <c r="C20" s="218"/>
      <c r="D20" s="218"/>
      <c r="E20" s="218"/>
      <c r="F20" s="219"/>
      <c r="G20" s="143"/>
    </row>
    <row r="21" spans="2:7" x14ac:dyDescent="0.25">
      <c r="B21" s="220" t="s">
        <v>186</v>
      </c>
      <c r="C21" s="221" t="s">
        <v>118</v>
      </c>
      <c r="D21" s="222" t="s">
        <v>119</v>
      </c>
      <c r="E21" s="223" t="s">
        <v>119</v>
      </c>
      <c r="F21" s="142">
        <v>4262.8</v>
      </c>
      <c r="G21" s="143"/>
    </row>
    <row r="22" spans="2:7" x14ac:dyDescent="0.25">
      <c r="B22" s="215" t="s">
        <v>185</v>
      </c>
      <c r="C22" s="139" t="s">
        <v>120</v>
      </c>
      <c r="D22" s="140" t="s">
        <v>121</v>
      </c>
      <c r="E22" s="141" t="s">
        <v>121</v>
      </c>
      <c r="F22" s="142">
        <v>4690.3</v>
      </c>
      <c r="G22" s="143"/>
    </row>
    <row r="23" spans="2:7" x14ac:dyDescent="0.25">
      <c r="B23" s="215" t="s">
        <v>187</v>
      </c>
      <c r="C23" s="139" t="s">
        <v>122</v>
      </c>
      <c r="D23" s="140" t="s">
        <v>123</v>
      </c>
      <c r="E23" s="141" t="s">
        <v>123</v>
      </c>
      <c r="F23" s="142">
        <v>5563.3</v>
      </c>
      <c r="G23" s="143"/>
    </row>
    <row r="24" spans="2:7" ht="90" customHeight="1" x14ac:dyDescent="0.25">
      <c r="B24" s="215" t="s">
        <v>188</v>
      </c>
      <c r="C24" s="139" t="s">
        <v>189</v>
      </c>
      <c r="D24" s="140"/>
      <c r="E24" s="141"/>
      <c r="F24" s="142">
        <v>6330.8</v>
      </c>
      <c r="G24" s="143"/>
    </row>
    <row r="25" spans="2:7" ht="90" customHeight="1" x14ac:dyDescent="0.25">
      <c r="B25" s="215" t="s">
        <v>191</v>
      </c>
      <c r="C25" s="139" t="s">
        <v>190</v>
      </c>
      <c r="D25" s="140" t="s">
        <v>190</v>
      </c>
      <c r="E25" s="141" t="s">
        <v>190</v>
      </c>
      <c r="F25" s="142">
        <v>6757.5</v>
      </c>
      <c r="G25" s="143"/>
    </row>
    <row r="26" spans="2:7" ht="90" customHeight="1" x14ac:dyDescent="0.25">
      <c r="B26" s="215" t="s">
        <v>193</v>
      </c>
      <c r="C26" s="139" t="s">
        <v>192</v>
      </c>
      <c r="D26" s="140" t="s">
        <v>192</v>
      </c>
      <c r="E26" s="141" t="s">
        <v>192</v>
      </c>
      <c r="F26" s="142">
        <v>7632.2</v>
      </c>
      <c r="G26" s="143"/>
    </row>
    <row r="27" spans="2:7" ht="30" customHeight="1" x14ac:dyDescent="0.25">
      <c r="B27" s="215" t="s">
        <v>199</v>
      </c>
      <c r="C27" s="139" t="s">
        <v>198</v>
      </c>
      <c r="D27" s="140" t="s">
        <v>198</v>
      </c>
      <c r="E27" s="141" t="s">
        <v>198</v>
      </c>
      <c r="F27" s="142">
        <v>7971.3</v>
      </c>
      <c r="G27" s="143"/>
    </row>
    <row r="28" spans="2:7" x14ac:dyDescent="0.25">
      <c r="B28" s="215" t="s">
        <v>194</v>
      </c>
      <c r="C28" s="139" t="s">
        <v>195</v>
      </c>
      <c r="D28" s="140" t="s">
        <v>195</v>
      </c>
      <c r="E28" s="141" t="s">
        <v>195</v>
      </c>
      <c r="F28" s="142">
        <v>8631.7999999999993</v>
      </c>
      <c r="G28" s="143"/>
    </row>
    <row r="29" spans="2:7" ht="30" customHeight="1" x14ac:dyDescent="0.25">
      <c r="B29" s="215" t="s">
        <v>197</v>
      </c>
      <c r="C29" s="139" t="s">
        <v>196</v>
      </c>
      <c r="D29" s="140" t="s">
        <v>196</v>
      </c>
      <c r="E29" s="141" t="s">
        <v>196</v>
      </c>
      <c r="F29" s="142">
        <v>8631.7999999999993</v>
      </c>
      <c r="G29" s="143"/>
    </row>
    <row r="30" spans="2:7" x14ac:dyDescent="0.25">
      <c r="B30" s="224"/>
      <c r="C30" s="225"/>
      <c r="D30" s="225"/>
      <c r="E30" s="225"/>
      <c r="F30" s="219"/>
      <c r="G30" s="143"/>
    </row>
    <row r="31" spans="2:7" x14ac:dyDescent="0.25">
      <c r="B31" s="215" t="s">
        <v>205</v>
      </c>
      <c r="C31" s="226" t="s">
        <v>204</v>
      </c>
      <c r="D31" s="227" t="s">
        <v>124</v>
      </c>
      <c r="E31" s="228" t="s">
        <v>124</v>
      </c>
      <c r="F31" s="142">
        <v>602.70000000000005</v>
      </c>
      <c r="G31" s="143"/>
    </row>
    <row r="32" spans="2:7" x14ac:dyDescent="0.25">
      <c r="B32" s="215" t="s">
        <v>207</v>
      </c>
      <c r="C32" s="139" t="s">
        <v>206</v>
      </c>
      <c r="D32" s="140"/>
      <c r="E32" s="141"/>
      <c r="F32" s="142">
        <v>680</v>
      </c>
      <c r="G32" s="143"/>
    </row>
    <row r="33" spans="2:7" x14ac:dyDescent="0.25">
      <c r="B33" s="215" t="s">
        <v>209</v>
      </c>
      <c r="C33" s="226" t="s">
        <v>208</v>
      </c>
      <c r="D33" s="227"/>
      <c r="E33" s="228"/>
      <c r="F33" s="142">
        <v>165.8</v>
      </c>
      <c r="G33" s="143"/>
    </row>
    <row r="34" spans="2:7" x14ac:dyDescent="0.25">
      <c r="B34" s="215" t="s">
        <v>211</v>
      </c>
      <c r="C34" s="226" t="s">
        <v>210</v>
      </c>
      <c r="D34" s="227" t="s">
        <v>125</v>
      </c>
      <c r="E34" s="228" t="s">
        <v>125</v>
      </c>
      <c r="F34" s="142">
        <v>620.5</v>
      </c>
      <c r="G34" s="143"/>
    </row>
    <row r="35" spans="2:7" x14ac:dyDescent="0.25">
      <c r="B35" s="215" t="s">
        <v>202</v>
      </c>
      <c r="C35" s="226" t="s">
        <v>203</v>
      </c>
      <c r="D35" s="227" t="s">
        <v>126</v>
      </c>
      <c r="E35" s="228" t="s">
        <v>126</v>
      </c>
      <c r="F35" s="142">
        <v>126.7</v>
      </c>
      <c r="G35" s="143"/>
    </row>
    <row r="36" spans="2:7" x14ac:dyDescent="0.25">
      <c r="B36" s="215" t="s">
        <v>213</v>
      </c>
      <c r="C36" s="226" t="s">
        <v>212</v>
      </c>
      <c r="D36" s="227" t="s">
        <v>127</v>
      </c>
      <c r="E36" s="228" t="s">
        <v>127</v>
      </c>
      <c r="F36" s="142">
        <v>495.6</v>
      </c>
      <c r="G36" s="143"/>
    </row>
    <row r="37" spans="2:7" x14ac:dyDescent="0.25">
      <c r="B37" s="224" t="s">
        <v>908</v>
      </c>
      <c r="C37" s="226" t="s">
        <v>909</v>
      </c>
      <c r="D37" s="227"/>
      <c r="E37" s="228"/>
      <c r="F37" s="142">
        <v>228.7</v>
      </c>
      <c r="G37" s="143"/>
    </row>
    <row r="38" spans="2:7" x14ac:dyDescent="0.25">
      <c r="B38" s="224" t="s">
        <v>910</v>
      </c>
      <c r="C38" s="226" t="s">
        <v>911</v>
      </c>
      <c r="D38" s="227"/>
      <c r="E38" s="228"/>
      <c r="F38" s="142">
        <v>48.5</v>
      </c>
      <c r="G38" s="143"/>
    </row>
    <row r="39" spans="2:7" x14ac:dyDescent="0.25">
      <c r="B39" s="224"/>
      <c r="C39" s="225"/>
      <c r="D39" s="225"/>
      <c r="E39" s="225"/>
      <c r="F39" s="219"/>
      <c r="G39" s="143"/>
    </row>
    <row r="40" spans="2:7" x14ac:dyDescent="0.25">
      <c r="B40" s="215" t="s">
        <v>913</v>
      </c>
      <c r="C40" s="226" t="s">
        <v>912</v>
      </c>
      <c r="D40" s="227" t="s">
        <v>128</v>
      </c>
      <c r="E40" s="228" t="s">
        <v>128</v>
      </c>
      <c r="F40" s="142">
        <v>195.5</v>
      </c>
      <c r="G40" s="143"/>
    </row>
    <row r="41" spans="2:7" x14ac:dyDescent="0.25">
      <c r="B41" s="215" t="s">
        <v>914</v>
      </c>
      <c r="C41" s="226" t="s">
        <v>915</v>
      </c>
      <c r="D41" s="227" t="s">
        <v>128</v>
      </c>
      <c r="E41" s="228" t="s">
        <v>128</v>
      </c>
      <c r="F41" s="142">
        <v>195.5</v>
      </c>
      <c r="G41" s="143"/>
    </row>
    <row r="42" spans="2:7" x14ac:dyDescent="0.25">
      <c r="B42" s="215" t="s">
        <v>916</v>
      </c>
      <c r="C42" s="226" t="s">
        <v>918</v>
      </c>
      <c r="D42" s="227" t="s">
        <v>128</v>
      </c>
      <c r="E42" s="228" t="s">
        <v>128</v>
      </c>
      <c r="F42" s="142">
        <v>195.5</v>
      </c>
      <c r="G42" s="28"/>
    </row>
    <row r="43" spans="2:7" x14ac:dyDescent="0.25">
      <c r="B43" s="215" t="s">
        <v>917</v>
      </c>
      <c r="C43" s="226" t="s">
        <v>919</v>
      </c>
      <c r="D43" s="227" t="s">
        <v>128</v>
      </c>
      <c r="E43" s="228" t="s">
        <v>128</v>
      </c>
      <c r="F43" s="142">
        <v>195.5</v>
      </c>
      <c r="G43" s="28"/>
    </row>
    <row r="44" spans="2:7" x14ac:dyDescent="0.25">
      <c r="B44" s="215" t="s">
        <v>920</v>
      </c>
      <c r="C44" s="226" t="s">
        <v>921</v>
      </c>
      <c r="D44" s="227" t="s">
        <v>128</v>
      </c>
      <c r="E44" s="228" t="s">
        <v>128</v>
      </c>
      <c r="F44" s="142">
        <v>94.4</v>
      </c>
      <c r="G44" s="28"/>
    </row>
    <row r="45" spans="2:7" x14ac:dyDescent="0.25">
      <c r="B45" s="215" t="s">
        <v>925</v>
      </c>
      <c r="C45" s="226" t="s">
        <v>922</v>
      </c>
      <c r="D45" s="227" t="s">
        <v>128</v>
      </c>
      <c r="E45" s="228" t="s">
        <v>128</v>
      </c>
      <c r="F45" s="142">
        <v>94.4</v>
      </c>
      <c r="G45" s="28"/>
    </row>
    <row r="46" spans="2:7" x14ac:dyDescent="0.25">
      <c r="B46" s="215" t="s">
        <v>926</v>
      </c>
      <c r="C46" s="226" t="s">
        <v>923</v>
      </c>
      <c r="D46" s="227" t="s">
        <v>128</v>
      </c>
      <c r="E46" s="228" t="s">
        <v>128</v>
      </c>
      <c r="F46" s="142">
        <v>94.4</v>
      </c>
      <c r="G46" s="28"/>
    </row>
    <row r="47" spans="2:7" x14ac:dyDescent="0.25">
      <c r="B47" s="215" t="s">
        <v>927</v>
      </c>
      <c r="C47" s="226" t="s">
        <v>924</v>
      </c>
      <c r="D47" s="227" t="s">
        <v>128</v>
      </c>
      <c r="E47" s="228" t="s">
        <v>128</v>
      </c>
      <c r="F47" s="142">
        <v>94.4</v>
      </c>
      <c r="G47" s="15"/>
    </row>
    <row r="48" spans="2:7" x14ac:dyDescent="0.25">
      <c r="B48" s="229" t="s">
        <v>215</v>
      </c>
      <c r="C48" s="230" t="s">
        <v>214</v>
      </c>
      <c r="D48" s="231"/>
      <c r="E48" s="232"/>
      <c r="F48" s="70" t="s">
        <v>129</v>
      </c>
      <c r="G48" s="15"/>
    </row>
    <row r="49" spans="2:7" x14ac:dyDescent="0.25">
      <c r="B49" s="233"/>
      <c r="C49" s="234"/>
      <c r="D49" s="234"/>
      <c r="E49" s="234"/>
      <c r="F49" s="235" t="s">
        <v>184</v>
      </c>
      <c r="G49" s="15"/>
    </row>
    <row r="50" spans="2:7" x14ac:dyDescent="0.25">
      <c r="B50" s="134" t="s">
        <v>846</v>
      </c>
      <c r="C50" s="213"/>
      <c r="D50" s="213"/>
      <c r="E50" s="213"/>
      <c r="F50" s="236" t="s">
        <v>184</v>
      </c>
      <c r="G50" s="143"/>
    </row>
    <row r="51" spans="2:7" x14ac:dyDescent="0.25">
      <c r="B51" s="237" t="s">
        <v>130</v>
      </c>
      <c r="C51" s="238" t="s">
        <v>216</v>
      </c>
      <c r="D51" s="227" t="s">
        <v>131</v>
      </c>
      <c r="E51" s="239" t="s">
        <v>131</v>
      </c>
      <c r="F51" s="142">
        <v>7813.2</v>
      </c>
      <c r="G51" s="28"/>
    </row>
    <row r="52" spans="2:7" ht="60" customHeight="1" x14ac:dyDescent="0.25">
      <c r="B52" s="237" t="s">
        <v>217</v>
      </c>
      <c r="C52" s="240" t="s">
        <v>980</v>
      </c>
      <c r="D52" s="227"/>
      <c r="E52" s="239"/>
      <c r="F52" s="142">
        <v>10028.299999999999</v>
      </c>
      <c r="G52" s="15"/>
    </row>
    <row r="53" spans="2:7" ht="57.75" customHeight="1" x14ac:dyDescent="0.25">
      <c r="B53" s="237" t="s">
        <v>218</v>
      </c>
      <c r="C53" s="240" t="s">
        <v>981</v>
      </c>
      <c r="D53" s="227" t="s">
        <v>132</v>
      </c>
      <c r="E53" s="239" t="s">
        <v>132</v>
      </c>
      <c r="F53" s="142">
        <v>13655.3</v>
      </c>
      <c r="G53" s="15"/>
    </row>
    <row r="54" spans="2:7" ht="60" customHeight="1" x14ac:dyDescent="0.25">
      <c r="B54" s="241" t="s">
        <v>219</v>
      </c>
      <c r="C54" s="242" t="s">
        <v>982</v>
      </c>
      <c r="D54" s="243" t="s">
        <v>133</v>
      </c>
      <c r="E54" s="244" t="s">
        <v>133</v>
      </c>
      <c r="F54" s="142">
        <v>20340.5</v>
      </c>
      <c r="G54" s="15"/>
    </row>
    <row r="55" spans="2:7" x14ac:dyDescent="0.25">
      <c r="B55" s="61"/>
      <c r="C55" s="66"/>
      <c r="D55" s="66"/>
      <c r="E55" s="66"/>
      <c r="F55" s="245" t="s">
        <v>184</v>
      </c>
      <c r="G55" s="15"/>
    </row>
    <row r="56" spans="2:7" x14ac:dyDescent="0.25">
      <c r="B56" s="246" t="s">
        <v>223</v>
      </c>
      <c r="C56" s="247" t="s">
        <v>222</v>
      </c>
      <c r="D56" s="248" t="s">
        <v>134</v>
      </c>
      <c r="E56" s="249" t="s">
        <v>134</v>
      </c>
      <c r="F56" s="142">
        <v>359.6</v>
      </c>
      <c r="G56" s="143"/>
    </row>
    <row r="57" spans="2:7" x14ac:dyDescent="0.25">
      <c r="B57" s="250" t="s">
        <v>224</v>
      </c>
      <c r="C57" s="251" t="s">
        <v>228</v>
      </c>
      <c r="D57" s="252" t="s">
        <v>134</v>
      </c>
      <c r="E57" s="253" t="s">
        <v>134</v>
      </c>
      <c r="F57" s="142">
        <v>398.7</v>
      </c>
      <c r="G57" s="143"/>
    </row>
    <row r="58" spans="2:7" x14ac:dyDescent="0.25">
      <c r="B58" s="250" t="s">
        <v>225</v>
      </c>
      <c r="C58" s="251" t="s">
        <v>229</v>
      </c>
      <c r="D58" s="252" t="s">
        <v>135</v>
      </c>
      <c r="E58" s="253" t="s">
        <v>135</v>
      </c>
      <c r="F58" s="142">
        <v>476</v>
      </c>
      <c r="G58" s="143"/>
    </row>
    <row r="59" spans="2:7" x14ac:dyDescent="0.25">
      <c r="B59" s="250" t="s">
        <v>226</v>
      </c>
      <c r="C59" s="251" t="s">
        <v>230</v>
      </c>
      <c r="D59" s="252" t="s">
        <v>136</v>
      </c>
      <c r="E59" s="253" t="s">
        <v>136</v>
      </c>
      <c r="F59" s="142">
        <v>349.4</v>
      </c>
      <c r="G59" s="28"/>
    </row>
    <row r="60" spans="2:7" x14ac:dyDescent="0.25">
      <c r="B60" s="250" t="s">
        <v>227</v>
      </c>
      <c r="C60" s="251" t="s">
        <v>231</v>
      </c>
      <c r="D60" s="252" t="s">
        <v>137</v>
      </c>
      <c r="E60" s="253" t="s">
        <v>137</v>
      </c>
      <c r="F60" s="142">
        <v>3106.8</v>
      </c>
      <c r="G60" s="254"/>
    </row>
    <row r="61" spans="2:7" x14ac:dyDescent="0.25">
      <c r="B61" s="250" t="s">
        <v>232</v>
      </c>
      <c r="C61" s="251" t="s">
        <v>256</v>
      </c>
      <c r="D61" s="252" t="s">
        <v>138</v>
      </c>
      <c r="E61" s="253" t="s">
        <v>138</v>
      </c>
      <c r="F61" s="142">
        <v>359.6</v>
      </c>
      <c r="G61" s="15"/>
    </row>
    <row r="62" spans="2:7" x14ac:dyDescent="0.25">
      <c r="B62" s="250" t="s">
        <v>234</v>
      </c>
      <c r="C62" s="251" t="s">
        <v>233</v>
      </c>
      <c r="D62" s="252" t="s">
        <v>139</v>
      </c>
      <c r="E62" s="253" t="s">
        <v>139</v>
      </c>
      <c r="F62" s="142">
        <v>3065.1</v>
      </c>
      <c r="G62" s="15"/>
    </row>
    <row r="63" spans="2:7" x14ac:dyDescent="0.25">
      <c r="B63" s="250" t="s">
        <v>235</v>
      </c>
      <c r="C63" s="251" t="s">
        <v>257</v>
      </c>
      <c r="D63" s="252"/>
      <c r="E63" s="253"/>
      <c r="F63" s="142">
        <v>408</v>
      </c>
      <c r="G63" s="15"/>
    </row>
    <row r="64" spans="2:7" x14ac:dyDescent="0.25">
      <c r="B64" s="255" t="s">
        <v>221</v>
      </c>
      <c r="C64" s="256" t="s">
        <v>220</v>
      </c>
      <c r="D64" s="257"/>
      <c r="E64" s="258"/>
      <c r="F64" s="142">
        <v>38.299999999999997</v>
      </c>
      <c r="G64" s="15"/>
    </row>
    <row r="65" spans="2:8" x14ac:dyDescent="0.25">
      <c r="B65" s="217"/>
      <c r="C65" s="259"/>
      <c r="D65" s="260"/>
      <c r="E65" s="260"/>
      <c r="F65" s="219"/>
      <c r="G65" s="15"/>
    </row>
    <row r="66" spans="2:8" ht="30" customHeight="1" x14ac:dyDescent="0.25">
      <c r="B66" s="250" t="s">
        <v>236</v>
      </c>
      <c r="C66" s="256" t="s">
        <v>237</v>
      </c>
      <c r="D66" s="257" t="s">
        <v>140</v>
      </c>
      <c r="E66" s="258" t="s">
        <v>140</v>
      </c>
      <c r="F66" s="70">
        <v>742.9</v>
      </c>
      <c r="G66" s="182"/>
    </row>
    <row r="67" spans="2:8" x14ac:dyDescent="0.25">
      <c r="B67" s="250" t="s">
        <v>239</v>
      </c>
      <c r="C67" s="261" t="s">
        <v>238</v>
      </c>
      <c r="D67" s="81" t="s">
        <v>141</v>
      </c>
      <c r="E67" s="262" t="s">
        <v>141</v>
      </c>
      <c r="F67" s="70">
        <v>4902.8</v>
      </c>
      <c r="G67" s="182"/>
    </row>
    <row r="68" spans="2:8" x14ac:dyDescent="0.25">
      <c r="B68" s="250" t="s">
        <v>241</v>
      </c>
      <c r="C68" s="263" t="s">
        <v>240</v>
      </c>
      <c r="D68" s="81" t="s">
        <v>142</v>
      </c>
      <c r="E68" s="262" t="s">
        <v>142</v>
      </c>
      <c r="F68" s="70">
        <v>437.8</v>
      </c>
      <c r="G68" s="182"/>
    </row>
    <row r="69" spans="2:8" x14ac:dyDescent="0.25">
      <c r="B69" s="250" t="s">
        <v>165</v>
      </c>
      <c r="C69" s="261" t="s">
        <v>258</v>
      </c>
      <c r="D69" s="81" t="s">
        <v>143</v>
      </c>
      <c r="E69" s="262" t="s">
        <v>143</v>
      </c>
      <c r="F69" s="70">
        <v>7073.7</v>
      </c>
      <c r="G69" s="182"/>
      <c r="H69" s="264"/>
    </row>
    <row r="70" spans="2:8" x14ac:dyDescent="0.25">
      <c r="B70" s="250" t="s">
        <v>164</v>
      </c>
      <c r="C70" s="261" t="s">
        <v>242</v>
      </c>
      <c r="D70" s="265" t="s">
        <v>144</v>
      </c>
      <c r="E70" s="266" t="s">
        <v>144</v>
      </c>
      <c r="F70" s="70">
        <v>549.1</v>
      </c>
      <c r="G70" s="182"/>
      <c r="H70" s="264"/>
    </row>
    <row r="71" spans="2:8" x14ac:dyDescent="0.25">
      <c r="B71" s="250" t="s">
        <v>244</v>
      </c>
      <c r="C71" s="261" t="s">
        <v>243</v>
      </c>
      <c r="D71" s="265" t="s">
        <v>145</v>
      </c>
      <c r="E71" s="266" t="s">
        <v>145</v>
      </c>
      <c r="F71" s="70">
        <v>203.2</v>
      </c>
      <c r="G71" s="143"/>
    </row>
    <row r="72" spans="2:8" ht="15" customHeight="1" x14ac:dyDescent="0.25">
      <c r="B72" s="250" t="s">
        <v>896</v>
      </c>
      <c r="C72" s="261" t="s">
        <v>245</v>
      </c>
      <c r="D72" s="265" t="s">
        <v>146</v>
      </c>
      <c r="E72" s="266" t="s">
        <v>146</v>
      </c>
      <c r="F72" s="70">
        <v>51</v>
      </c>
      <c r="G72" s="143"/>
    </row>
    <row r="73" spans="2:8" ht="15" customHeight="1" x14ac:dyDescent="0.25">
      <c r="B73" s="250" t="s">
        <v>246</v>
      </c>
      <c r="C73" s="261" t="s">
        <v>247</v>
      </c>
      <c r="D73" s="265" t="s">
        <v>145</v>
      </c>
      <c r="E73" s="266" t="s">
        <v>145</v>
      </c>
      <c r="F73" s="70">
        <v>330.7</v>
      </c>
      <c r="G73" s="143"/>
    </row>
    <row r="74" spans="2:8" x14ac:dyDescent="0.25">
      <c r="B74" s="250" t="s">
        <v>249</v>
      </c>
      <c r="C74" s="261" t="s">
        <v>248</v>
      </c>
      <c r="D74" s="265" t="s">
        <v>146</v>
      </c>
      <c r="E74" s="266" t="s">
        <v>146</v>
      </c>
      <c r="F74" s="70">
        <v>1106.7</v>
      </c>
      <c r="G74" s="143"/>
    </row>
    <row r="75" spans="2:8" x14ac:dyDescent="0.25">
      <c r="B75" s="217"/>
      <c r="C75" s="259"/>
      <c r="D75" s="260"/>
      <c r="E75" s="260"/>
      <c r="F75" s="219"/>
      <c r="G75" s="143"/>
    </row>
    <row r="76" spans="2:8" x14ac:dyDescent="0.25">
      <c r="B76" s="267" t="s">
        <v>150</v>
      </c>
      <c r="C76" s="263" t="s">
        <v>151</v>
      </c>
      <c r="D76" s="81" t="s">
        <v>151</v>
      </c>
      <c r="E76" s="262" t="s">
        <v>151</v>
      </c>
      <c r="F76" s="70">
        <v>282.2</v>
      </c>
    </row>
    <row r="77" spans="2:8" x14ac:dyDescent="0.25">
      <c r="B77" s="267" t="s">
        <v>254</v>
      </c>
      <c r="C77" s="80" t="s">
        <v>149</v>
      </c>
      <c r="D77" s="81"/>
      <c r="E77" s="262"/>
      <c r="F77" s="70" t="s">
        <v>129</v>
      </c>
    </row>
    <row r="78" spans="2:8" x14ac:dyDescent="0.25">
      <c r="B78" s="250" t="s">
        <v>250</v>
      </c>
      <c r="C78" s="261" t="s">
        <v>147</v>
      </c>
      <c r="D78" s="265" t="s">
        <v>145</v>
      </c>
      <c r="E78" s="266" t="s">
        <v>145</v>
      </c>
      <c r="F78" s="70">
        <v>3597.2</v>
      </c>
    </row>
    <row r="79" spans="2:8" x14ac:dyDescent="0.25">
      <c r="B79" s="250" t="s">
        <v>251</v>
      </c>
      <c r="C79" s="261" t="s">
        <v>259</v>
      </c>
      <c r="D79" s="265" t="s">
        <v>146</v>
      </c>
      <c r="E79" s="266" t="s">
        <v>146</v>
      </c>
      <c r="F79" s="70">
        <v>2522</v>
      </c>
    </row>
    <row r="80" spans="2:8" x14ac:dyDescent="0.25">
      <c r="B80" s="250" t="s">
        <v>252</v>
      </c>
      <c r="C80" s="261" t="s">
        <v>260</v>
      </c>
      <c r="D80" s="265" t="s">
        <v>145</v>
      </c>
      <c r="E80" s="266" t="s">
        <v>145</v>
      </c>
      <c r="F80" s="70">
        <v>1497.7</v>
      </c>
    </row>
    <row r="81" spans="2:6" x14ac:dyDescent="0.25">
      <c r="B81" s="250" t="s">
        <v>253</v>
      </c>
      <c r="C81" s="261" t="s">
        <v>148</v>
      </c>
      <c r="D81" s="265" t="s">
        <v>146</v>
      </c>
      <c r="E81" s="266" t="s">
        <v>146</v>
      </c>
      <c r="F81" s="70">
        <v>583.1</v>
      </c>
    </row>
  </sheetData>
  <sheetProtection algorithmName="SHA-512" hashValue="yb6+rvwecjVgwiLlk5XYbBFLpIsmlkLldpCh+KBHmuynzLy45ard4VwKpNHiapMpOdhfzMdUPaIeVQhKNzJ0Zg==" saltValue="q2zpOdtPwzKsvgYVMBqm+Q==" spinCount="100000" sheet="1" objects="1" scenarios="1"/>
  <mergeCells count="67">
    <mergeCell ref="C53:E53"/>
    <mergeCell ref="C16:E16"/>
    <mergeCell ref="C63:E63"/>
    <mergeCell ref="C64:E64"/>
    <mergeCell ref="C65:E65"/>
    <mergeCell ref="C54:E54"/>
    <mergeCell ref="C55:E55"/>
    <mergeCell ref="C56:E56"/>
    <mergeCell ref="C57:E57"/>
    <mergeCell ref="C58:E58"/>
    <mergeCell ref="C47:E47"/>
    <mergeCell ref="C48:E48"/>
    <mergeCell ref="C49:E49"/>
    <mergeCell ref="C51:E51"/>
    <mergeCell ref="C52:E52"/>
    <mergeCell ref="C35:E35"/>
    <mergeCell ref="C59:E59"/>
    <mergeCell ref="C60:E60"/>
    <mergeCell ref="C61:E61"/>
    <mergeCell ref="C62:E62"/>
    <mergeCell ref="C66:E66"/>
    <mergeCell ref="C67:E67"/>
    <mergeCell ref="C68:E68"/>
    <mergeCell ref="C69:E69"/>
    <mergeCell ref="C70:E70"/>
    <mergeCell ref="C71:E71"/>
    <mergeCell ref="C78:E78"/>
    <mergeCell ref="C79:E79"/>
    <mergeCell ref="C80:E80"/>
    <mergeCell ref="C81:E81"/>
    <mergeCell ref="C72:E72"/>
    <mergeCell ref="C73:E73"/>
    <mergeCell ref="C74:E74"/>
    <mergeCell ref="C76:E76"/>
    <mergeCell ref="C77:E77"/>
    <mergeCell ref="C75:E75"/>
    <mergeCell ref="C10:E10"/>
    <mergeCell ref="C21:E21"/>
    <mergeCell ref="C22:E22"/>
    <mergeCell ref="C23:E23"/>
    <mergeCell ref="C24:E24"/>
    <mergeCell ref="C12:E12"/>
    <mergeCell ref="C13:E13"/>
    <mergeCell ref="C14:E14"/>
    <mergeCell ref="C15:E15"/>
    <mergeCell ref="C26:E26"/>
    <mergeCell ref="C27:E27"/>
    <mergeCell ref="C19:E19"/>
    <mergeCell ref="C17:E17"/>
    <mergeCell ref="C18:E18"/>
    <mergeCell ref="C25:E25"/>
    <mergeCell ref="C46:E46"/>
    <mergeCell ref="C43:E43"/>
    <mergeCell ref="C44:E44"/>
    <mergeCell ref="C45:E45"/>
    <mergeCell ref="C28:E28"/>
    <mergeCell ref="C36:E36"/>
    <mergeCell ref="C40:E40"/>
    <mergeCell ref="C41:E41"/>
    <mergeCell ref="C42:E42"/>
    <mergeCell ref="C29:E29"/>
    <mergeCell ref="C31:E31"/>
    <mergeCell ref="C32:E32"/>
    <mergeCell ref="C33:E33"/>
    <mergeCell ref="C34:E34"/>
    <mergeCell ref="C37:E37"/>
    <mergeCell ref="C38:E38"/>
  </mergeCells>
  <hyperlinks>
    <hyperlink ref="B7" r:id="rId1" xr:uid="{F49D4439-B969-4038-8EBC-C56CA0CB53CD}"/>
    <hyperlink ref="B8" r:id="rId2" xr:uid="{F795AF27-CD9F-48A3-984F-50226CA0670D}"/>
  </hyperlinks>
  <pageMargins left="0.70866141732283472" right="0.70866141732283472" top="0.74803149606299213" bottom="0.74803149606299213" header="0.31496062992125984" footer="0.31496062992125984"/>
  <pageSetup paperSize="9" scale="58" fitToHeight="0"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A9D1-E63E-484F-BA43-FEC10700997F}">
  <sheetPr codeName="Sheet4">
    <tabColor rgb="FF0070C0"/>
    <pageSetUpPr fitToPage="1"/>
  </sheetPr>
  <dimension ref="A1:H56"/>
  <sheetViews>
    <sheetView showGridLines="0" zoomScaleNormal="100" zoomScaleSheetLayoutView="100" workbookViewId="0">
      <pane ySplit="10" topLeftCell="A11" activePane="bottomLeft" state="frozen"/>
      <selection pane="bottomLeft" activeCell="J24" sqref="J24"/>
    </sheetView>
  </sheetViews>
  <sheetFormatPr defaultRowHeight="15" x14ac:dyDescent="0.25"/>
  <cols>
    <col min="1" max="1" width="5.7109375" style="1" customWidth="1"/>
    <col min="2" max="2" width="28.7109375" style="171" customWidth="1"/>
    <col min="3" max="3" width="14.7109375" style="171" customWidth="1"/>
    <col min="4" max="4" width="25.7109375" style="171" customWidth="1"/>
    <col min="5" max="5" width="48.7109375" style="171" customWidth="1"/>
    <col min="6" max="6" width="18.7109375" style="171" customWidth="1"/>
    <col min="7" max="7" width="5.7109375" style="171" customWidth="1"/>
    <col min="8" max="8" width="7" style="5" customWidth="1"/>
    <col min="9" max="16384" width="9.140625" style="5"/>
  </cols>
  <sheetData>
    <row r="1" spans="1:8" ht="20.25" customHeight="1" x14ac:dyDescent="0.25">
      <c r="B1" s="2"/>
      <c r="C1" s="3"/>
      <c r="D1" s="3"/>
      <c r="E1" s="3"/>
      <c r="F1" s="3"/>
      <c r="G1" s="3"/>
    </row>
    <row r="2" spans="1:8" ht="30" customHeight="1" x14ac:dyDescent="0.25">
      <c r="B2" s="6" t="s">
        <v>898</v>
      </c>
      <c r="C2" s="7"/>
      <c r="D2" s="8"/>
      <c r="E2" s="8"/>
      <c r="F2" s="9"/>
      <c r="G2" s="9"/>
    </row>
    <row r="3" spans="1:8" ht="15" customHeight="1" x14ac:dyDescent="0.25">
      <c r="B3" s="10"/>
      <c r="C3" s="10"/>
      <c r="D3" s="10"/>
      <c r="E3" s="10"/>
      <c r="F3" s="10"/>
      <c r="G3" s="10"/>
    </row>
    <row r="4" spans="1:8" x14ac:dyDescent="0.25">
      <c r="B4" s="11" t="s">
        <v>0</v>
      </c>
      <c r="C4" s="12"/>
      <c r="D4" s="13" t="s">
        <v>1</v>
      </c>
      <c r="E4" s="14" t="s">
        <v>899</v>
      </c>
      <c r="F4" s="15"/>
      <c r="G4" s="16"/>
    </row>
    <row r="5" spans="1:8" x14ac:dyDescent="0.25">
      <c r="B5" s="11" t="s">
        <v>2</v>
      </c>
      <c r="C5" s="12"/>
      <c r="D5" s="13" t="s">
        <v>3</v>
      </c>
      <c r="E5" s="14" t="s">
        <v>900</v>
      </c>
      <c r="F5" s="15"/>
      <c r="G5" s="16"/>
    </row>
    <row r="6" spans="1:8" x14ac:dyDescent="0.25">
      <c r="B6" s="17" t="s">
        <v>4</v>
      </c>
      <c r="C6" s="18"/>
      <c r="D6" s="19" t="s">
        <v>5</v>
      </c>
      <c r="E6" s="127" t="str">
        <f>'SFC Interlocking'!E6</f>
        <v xml:space="preserve">EUR </v>
      </c>
      <c r="F6" s="21"/>
      <c r="G6" s="22"/>
    </row>
    <row r="7" spans="1:8" x14ac:dyDescent="0.25">
      <c r="B7" s="23" t="s">
        <v>897</v>
      </c>
      <c r="C7" s="24"/>
      <c r="D7" s="25" t="s">
        <v>6</v>
      </c>
      <c r="E7" s="127" t="str">
        <f>'SFC Interlocking'!E7</f>
        <v>Europe - SDIS</v>
      </c>
      <c r="F7" s="4"/>
      <c r="G7" s="16"/>
    </row>
    <row r="8" spans="1:8" x14ac:dyDescent="0.25">
      <c r="B8" s="23" t="s">
        <v>7</v>
      </c>
      <c r="C8" s="24"/>
      <c r="D8" s="25" t="s">
        <v>8</v>
      </c>
      <c r="E8" s="25" t="s">
        <v>845</v>
      </c>
      <c r="F8" s="4"/>
      <c r="G8" s="16"/>
    </row>
    <row r="9" spans="1:8" x14ac:dyDescent="0.25">
      <c r="B9" s="268"/>
      <c r="C9" s="268"/>
      <c r="D9" s="268"/>
    </row>
    <row r="10" spans="1:8" x14ac:dyDescent="0.25">
      <c r="B10" s="30" t="s">
        <v>9</v>
      </c>
      <c r="C10" s="269" t="s">
        <v>10</v>
      </c>
      <c r="D10" s="269"/>
      <c r="E10" s="269"/>
      <c r="F10" s="34" t="s">
        <v>11</v>
      </c>
      <c r="G10" s="133"/>
    </row>
    <row r="11" spans="1:8" x14ac:dyDescent="0.25">
      <c r="B11" s="36" t="s">
        <v>300</v>
      </c>
      <c r="C11" s="37"/>
      <c r="D11" s="37"/>
      <c r="E11" s="37"/>
      <c r="F11" s="38"/>
      <c r="G11" s="137"/>
    </row>
    <row r="12" spans="1:8" x14ac:dyDescent="0.25">
      <c r="A12" s="178"/>
      <c r="B12" s="183" t="s">
        <v>263</v>
      </c>
      <c r="C12" s="43" t="s">
        <v>261</v>
      </c>
      <c r="D12" s="43"/>
      <c r="E12" s="43"/>
      <c r="F12" s="179">
        <v>41.6</v>
      </c>
      <c r="G12" s="42"/>
      <c r="H12" s="75"/>
    </row>
    <row r="13" spans="1:8" x14ac:dyDescent="0.25">
      <c r="A13" s="178"/>
      <c r="B13" s="183" t="s">
        <v>264</v>
      </c>
      <c r="C13" s="43" t="s">
        <v>262</v>
      </c>
      <c r="D13" s="43"/>
      <c r="E13" s="43"/>
      <c r="F13" s="179">
        <v>38.4</v>
      </c>
      <c r="G13" s="143"/>
      <c r="H13" s="75"/>
    </row>
    <row r="14" spans="1:8" x14ac:dyDescent="0.25">
      <c r="B14" s="268"/>
      <c r="C14" s="268"/>
      <c r="D14" s="268"/>
      <c r="E14" s="268"/>
    </row>
    <row r="15" spans="1:8" x14ac:dyDescent="0.25">
      <c r="B15" s="36" t="s">
        <v>301</v>
      </c>
      <c r="C15" s="37"/>
      <c r="D15" s="37"/>
      <c r="E15" s="37"/>
      <c r="F15" s="38"/>
      <c r="G15" s="143"/>
    </row>
    <row r="16" spans="1:8" x14ac:dyDescent="0.25">
      <c r="B16" s="270" t="s">
        <v>275</v>
      </c>
      <c r="C16" s="271" t="s">
        <v>302</v>
      </c>
      <c r="D16" s="271"/>
      <c r="E16" s="271"/>
      <c r="F16" s="142">
        <v>38.4</v>
      </c>
      <c r="G16" s="143"/>
    </row>
    <row r="17" spans="2:7" x14ac:dyDescent="0.25">
      <c r="B17" s="270" t="s">
        <v>277</v>
      </c>
      <c r="C17" s="271" t="s">
        <v>278</v>
      </c>
      <c r="D17" s="271" t="s">
        <v>152</v>
      </c>
      <c r="E17" s="271" t="s">
        <v>152</v>
      </c>
      <c r="F17" s="142">
        <v>31.2</v>
      </c>
      <c r="G17" s="143"/>
    </row>
    <row r="18" spans="2:7" ht="30" customHeight="1" x14ac:dyDescent="0.25">
      <c r="B18" s="270" t="s">
        <v>280</v>
      </c>
      <c r="C18" s="272" t="s">
        <v>281</v>
      </c>
      <c r="D18" s="272"/>
      <c r="E18" s="272"/>
      <c r="F18" s="142">
        <v>30.4</v>
      </c>
      <c r="G18" s="143"/>
    </row>
    <row r="19" spans="2:7" ht="30" customHeight="1" x14ac:dyDescent="0.25">
      <c r="B19" s="270" t="s">
        <v>283</v>
      </c>
      <c r="C19" s="272" t="s">
        <v>282</v>
      </c>
      <c r="D19" s="272"/>
      <c r="E19" s="272"/>
      <c r="F19" s="142">
        <v>36.799999999999997</v>
      </c>
      <c r="G19" s="143"/>
    </row>
    <row r="20" spans="2:7" ht="30" customHeight="1" x14ac:dyDescent="0.25">
      <c r="B20" s="270" t="s">
        <v>286</v>
      </c>
      <c r="C20" s="272" t="s">
        <v>284</v>
      </c>
      <c r="D20" s="272"/>
      <c r="E20" s="272"/>
      <c r="F20" s="142">
        <v>28</v>
      </c>
      <c r="G20" s="143"/>
    </row>
    <row r="21" spans="2:7" ht="30" customHeight="1" x14ac:dyDescent="0.25">
      <c r="B21" s="270" t="s">
        <v>287</v>
      </c>
      <c r="C21" s="272" t="s">
        <v>285</v>
      </c>
      <c r="D21" s="272"/>
      <c r="E21" s="272"/>
      <c r="F21" s="142">
        <v>36</v>
      </c>
      <c r="G21" s="143"/>
    </row>
    <row r="22" spans="2:7" ht="30" customHeight="1" x14ac:dyDescent="0.25">
      <c r="B22" s="270" t="s">
        <v>290</v>
      </c>
      <c r="C22" s="272" t="s">
        <v>288</v>
      </c>
      <c r="D22" s="272"/>
      <c r="E22" s="272"/>
      <c r="F22" s="142">
        <v>30.4</v>
      </c>
      <c r="G22" s="143"/>
    </row>
    <row r="23" spans="2:7" ht="30" customHeight="1" x14ac:dyDescent="0.25">
      <c r="B23" s="270" t="s">
        <v>291</v>
      </c>
      <c r="C23" s="272" t="s">
        <v>289</v>
      </c>
      <c r="D23" s="272"/>
      <c r="E23" s="272"/>
      <c r="F23" s="142">
        <v>36.799999999999997</v>
      </c>
      <c r="G23" s="143"/>
    </row>
    <row r="24" spans="2:7" ht="30" customHeight="1" x14ac:dyDescent="0.25">
      <c r="B24" s="270" t="s">
        <v>294</v>
      </c>
      <c r="C24" s="272" t="s">
        <v>292</v>
      </c>
      <c r="D24" s="272"/>
      <c r="E24" s="272"/>
      <c r="F24" s="142">
        <v>28.8</v>
      </c>
      <c r="G24" s="143"/>
    </row>
    <row r="25" spans="2:7" ht="30" customHeight="1" x14ac:dyDescent="0.25">
      <c r="B25" s="270" t="s">
        <v>295</v>
      </c>
      <c r="C25" s="272" t="s">
        <v>293</v>
      </c>
      <c r="D25" s="272"/>
      <c r="E25" s="272"/>
      <c r="F25" s="142">
        <v>35.200000000000003</v>
      </c>
      <c r="G25" s="143"/>
    </row>
    <row r="26" spans="2:7" ht="30" customHeight="1" x14ac:dyDescent="0.25">
      <c r="B26" s="270" t="s">
        <v>296</v>
      </c>
      <c r="C26" s="272" t="s">
        <v>298</v>
      </c>
      <c r="D26" s="272"/>
      <c r="E26" s="272"/>
      <c r="F26" s="142">
        <v>32.799999999999997</v>
      </c>
      <c r="G26" s="143"/>
    </row>
    <row r="27" spans="2:7" ht="30" customHeight="1" x14ac:dyDescent="0.25">
      <c r="B27" s="270" t="s">
        <v>297</v>
      </c>
      <c r="C27" s="272" t="s">
        <v>299</v>
      </c>
      <c r="D27" s="272"/>
      <c r="E27" s="272"/>
      <c r="F27" s="142">
        <v>40</v>
      </c>
      <c r="G27" s="143"/>
    </row>
    <row r="28" spans="2:7" x14ac:dyDescent="0.25">
      <c r="B28" s="270" t="s">
        <v>276</v>
      </c>
      <c r="C28" s="272" t="s">
        <v>279</v>
      </c>
      <c r="D28" s="272" t="s">
        <v>153</v>
      </c>
      <c r="E28" s="272" t="s">
        <v>153</v>
      </c>
      <c r="F28" s="142">
        <v>8.8000000000000007</v>
      </c>
      <c r="G28" s="143"/>
    </row>
    <row r="29" spans="2:7" x14ac:dyDescent="0.25">
      <c r="B29" s="268"/>
      <c r="C29" s="268"/>
      <c r="D29" s="268"/>
      <c r="E29" s="268"/>
    </row>
    <row r="30" spans="2:7" x14ac:dyDescent="0.25">
      <c r="B30" s="36" t="s">
        <v>303</v>
      </c>
      <c r="C30" s="37"/>
      <c r="D30" s="37"/>
      <c r="E30" s="37"/>
      <c r="F30" s="38"/>
      <c r="G30" s="15"/>
    </row>
    <row r="31" spans="2:7" x14ac:dyDescent="0.25">
      <c r="B31" s="64" t="s">
        <v>166</v>
      </c>
      <c r="C31" s="64" t="s">
        <v>169</v>
      </c>
      <c r="D31" s="64"/>
      <c r="E31" s="64"/>
      <c r="F31" s="70" t="s">
        <v>129</v>
      </c>
      <c r="G31" s="143"/>
    </row>
    <row r="32" spans="2:7" x14ac:dyDescent="0.25">
      <c r="B32" s="64" t="s">
        <v>167</v>
      </c>
      <c r="C32" s="43" t="s">
        <v>168</v>
      </c>
      <c r="D32" s="43" t="s">
        <v>156</v>
      </c>
      <c r="E32" s="43" t="s">
        <v>156</v>
      </c>
      <c r="F32" s="70" t="s">
        <v>129</v>
      </c>
      <c r="G32" s="28"/>
    </row>
    <row r="33" spans="2:7" x14ac:dyDescent="0.25">
      <c r="B33" s="64" t="s">
        <v>267</v>
      </c>
      <c r="C33" s="43" t="s">
        <v>265</v>
      </c>
      <c r="D33" s="43" t="s">
        <v>154</v>
      </c>
      <c r="E33" s="43" t="s">
        <v>154</v>
      </c>
      <c r="F33" s="41">
        <v>7.2</v>
      </c>
      <c r="G33" s="15"/>
    </row>
    <row r="34" spans="2:7" x14ac:dyDescent="0.25">
      <c r="B34" s="64" t="s">
        <v>268</v>
      </c>
      <c r="C34" s="43" t="s">
        <v>266</v>
      </c>
      <c r="D34" s="43" t="s">
        <v>155</v>
      </c>
      <c r="E34" s="43" t="s">
        <v>155</v>
      </c>
      <c r="F34" s="41">
        <v>12.8</v>
      </c>
      <c r="G34" s="15"/>
    </row>
    <row r="35" spans="2:7" x14ac:dyDescent="0.25">
      <c r="B35" s="268"/>
      <c r="C35" s="268"/>
      <c r="D35" s="268"/>
      <c r="E35" s="268"/>
    </row>
    <row r="36" spans="2:7" x14ac:dyDescent="0.25">
      <c r="B36" s="36" t="s">
        <v>304</v>
      </c>
      <c r="C36" s="37"/>
      <c r="D36" s="37"/>
      <c r="E36" s="37"/>
      <c r="F36" s="38"/>
      <c r="G36" s="15"/>
    </row>
    <row r="37" spans="2:7" x14ac:dyDescent="0.25">
      <c r="B37" s="64" t="s">
        <v>269</v>
      </c>
      <c r="C37" s="43" t="s">
        <v>180</v>
      </c>
      <c r="D37" s="43" t="s">
        <v>157</v>
      </c>
      <c r="E37" s="43" t="s">
        <v>157</v>
      </c>
      <c r="F37" s="179">
        <v>23.2</v>
      </c>
      <c r="G37" s="15"/>
    </row>
    <row r="38" spans="2:7" x14ac:dyDescent="0.25">
      <c r="B38" s="64" t="s">
        <v>270</v>
      </c>
      <c r="C38" s="43" t="s">
        <v>181</v>
      </c>
      <c r="D38" s="43" t="s">
        <v>158</v>
      </c>
      <c r="E38" s="43" t="s">
        <v>158</v>
      </c>
      <c r="F38" s="179">
        <v>36</v>
      </c>
      <c r="G38" s="15"/>
    </row>
    <row r="39" spans="2:7" x14ac:dyDescent="0.25">
      <c r="B39" s="64" t="s">
        <v>271</v>
      </c>
      <c r="C39" s="43" t="s">
        <v>182</v>
      </c>
      <c r="D39" s="43" t="s">
        <v>159</v>
      </c>
      <c r="E39" s="43" t="s">
        <v>159</v>
      </c>
      <c r="F39" s="179">
        <v>49.6</v>
      </c>
      <c r="G39" s="15"/>
    </row>
    <row r="40" spans="2:7" x14ac:dyDescent="0.25">
      <c r="B40" s="64" t="s">
        <v>272</v>
      </c>
      <c r="C40" s="43" t="s">
        <v>183</v>
      </c>
      <c r="D40" s="43" t="s">
        <v>160</v>
      </c>
      <c r="E40" s="43" t="s">
        <v>160</v>
      </c>
      <c r="F40" s="179">
        <v>71.2</v>
      </c>
      <c r="G40" s="182"/>
    </row>
    <row r="41" spans="2:7" x14ac:dyDescent="0.25">
      <c r="B41" s="64" t="s">
        <v>273</v>
      </c>
      <c r="C41" s="43" t="s">
        <v>274</v>
      </c>
      <c r="D41" s="43" t="s">
        <v>161</v>
      </c>
      <c r="E41" s="43" t="s">
        <v>161</v>
      </c>
      <c r="F41" s="179">
        <v>128</v>
      </c>
      <c r="G41" s="182"/>
    </row>
    <row r="42" spans="2:7" x14ac:dyDescent="0.25">
      <c r="F42" s="273" t="s">
        <v>184</v>
      </c>
      <c r="G42" s="182"/>
    </row>
    <row r="43" spans="2:7" ht="51.75" customHeight="1" x14ac:dyDescent="0.25">
      <c r="B43" s="274" t="s">
        <v>162</v>
      </c>
      <c r="F43" s="171" t="s">
        <v>184</v>
      </c>
      <c r="G43" s="143"/>
    </row>
    <row r="44" spans="2:7" x14ac:dyDescent="0.25">
      <c r="F44" s="171" t="s">
        <v>184</v>
      </c>
      <c r="G44" s="143"/>
    </row>
    <row r="45" spans="2:7" x14ac:dyDescent="0.25">
      <c r="F45" s="171" t="s">
        <v>184</v>
      </c>
      <c r="G45" s="143"/>
    </row>
    <row r="46" spans="2:7" x14ac:dyDescent="0.25">
      <c r="F46" s="171" t="s">
        <v>184</v>
      </c>
      <c r="G46" s="143"/>
    </row>
    <row r="47" spans="2:7" x14ac:dyDescent="0.25">
      <c r="F47" s="171" t="s">
        <v>184</v>
      </c>
      <c r="G47" s="143"/>
    </row>
    <row r="48" spans="2:7" x14ac:dyDescent="0.25">
      <c r="F48" s="171" t="s">
        <v>184</v>
      </c>
      <c r="G48" s="143"/>
    </row>
    <row r="49" spans="7:7" x14ac:dyDescent="0.25">
      <c r="G49" s="143"/>
    </row>
    <row r="50" spans="7:7" x14ac:dyDescent="0.25">
      <c r="G50" s="143"/>
    </row>
    <row r="51" spans="7:7" x14ac:dyDescent="0.25">
      <c r="G51" s="143"/>
    </row>
    <row r="52" spans="7:7" x14ac:dyDescent="0.25">
      <c r="G52" s="143"/>
    </row>
    <row r="53" spans="7:7" x14ac:dyDescent="0.25">
      <c r="G53" s="143"/>
    </row>
    <row r="54" spans="7:7" x14ac:dyDescent="0.25">
      <c r="G54" s="143"/>
    </row>
    <row r="55" spans="7:7" x14ac:dyDescent="0.25">
      <c r="G55" s="143"/>
    </row>
    <row r="56" spans="7:7" x14ac:dyDescent="0.25">
      <c r="G56" s="143"/>
    </row>
  </sheetData>
  <sheetProtection algorithmName="SHA-512" hashValue="wFIcDkksD0ADl/k3GmeElkgC1rFJCUj3jVtAaosvb+tl9vCDb4KEu5oCvs0wZJAh93ghzmOM8MY6QSvt16ZKow==" saltValue="7e6bIzr2P5hO7VYymuzXwA==" spinCount="100000" sheet="1" objects="1" scenarios="1"/>
  <mergeCells count="24">
    <mergeCell ref="C37:E37"/>
    <mergeCell ref="C38:E38"/>
    <mergeCell ref="C39:E39"/>
    <mergeCell ref="C40:E40"/>
    <mergeCell ref="C41:E41"/>
    <mergeCell ref="C32:E32"/>
    <mergeCell ref="C33:E33"/>
    <mergeCell ref="C34:E34"/>
    <mergeCell ref="C24:E24"/>
    <mergeCell ref="C25:E25"/>
    <mergeCell ref="C26:E26"/>
    <mergeCell ref="C27:E27"/>
    <mergeCell ref="C28:E28"/>
    <mergeCell ref="C19:E19"/>
    <mergeCell ref="C20:E20"/>
    <mergeCell ref="C21:E21"/>
    <mergeCell ref="C22:E22"/>
    <mergeCell ref="C23:E23"/>
    <mergeCell ref="C18:E18"/>
    <mergeCell ref="C12:E12"/>
    <mergeCell ref="C13:E13"/>
    <mergeCell ref="C10:E10"/>
    <mergeCell ref="C16:E16"/>
    <mergeCell ref="C17:E17"/>
  </mergeCells>
  <hyperlinks>
    <hyperlink ref="B7" r:id="rId1" xr:uid="{E7A040E6-E910-4205-8645-866880F69A6B}"/>
    <hyperlink ref="B8" r:id="rId2" xr:uid="{F18234E4-8AD6-4DFB-87E1-465C4EFE629D}"/>
  </hyperlinks>
  <pageMargins left="0.7" right="0.7" top="0.75" bottom="0.75" header="0.3" footer="0.3"/>
  <pageSetup paperSize="9" scale="59" fitToHeight="0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9B532A74BD5E48A19C6411C774DADB" ma:contentTypeVersion="27" ma:contentTypeDescription="Create a new document." ma:contentTypeScope="" ma:versionID="8141db6acf769a89747f3fe6fc86a74e">
  <xsd:schema xmlns:xsd="http://www.w3.org/2001/XMLSchema" xmlns:xs="http://www.w3.org/2001/XMLSchema" xmlns:p="http://schemas.microsoft.com/office/2006/metadata/properties" xmlns:ns2="345482ca-ba02-4b39-b6b2-1708d1d2c34d" xmlns:ns3="0ccd0948-7446-4b1d-a1e6-bac6280f6796" targetNamespace="http://schemas.microsoft.com/office/2006/metadata/properties" ma:root="true" ma:fieldsID="ffd0f7a9f5d13e750eacec29ca23b6c0" ns2:_="" ns3:_="">
    <xsd:import namespace="345482ca-ba02-4b39-b6b2-1708d1d2c34d"/>
    <xsd:import namespace="0ccd0948-7446-4b1d-a1e6-bac6280f6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482ca-ba02-4b39-b6b2-1708d1d2c3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9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842dfc5-13bc-413d-b12b-68dbd3cc3f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cd0948-7446-4b1d-a1e6-bac6280f6796" elementFormDefault="qualified">
    <xsd:import namespace="http://schemas.microsoft.com/office/2006/documentManagement/types"/>
    <xsd:import namespace="http://schemas.microsoft.com/office/infopath/2007/PartnerControls"/>
    <xsd:element name="SharedWithUsers" ma:index="7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a6c09c3-ec96-428f-bf34-38e58d02ce12}" ma:internalName="TaxCatchAll" ma:showField="CatchAllData" ma:web="0ccd0948-7446-4b1d-a1e6-bac6280f6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482ca-ba02-4b39-b6b2-1708d1d2c34d">
      <Terms xmlns="http://schemas.microsoft.com/office/infopath/2007/PartnerControls"/>
    </lcf76f155ced4ddcb4097134ff3c332f>
    <TaxCatchAll xmlns="0ccd0948-7446-4b1d-a1e6-bac6280f6796" xsi:nil="true"/>
  </documentManagement>
</p:properties>
</file>

<file path=customXml/itemProps1.xml><?xml version="1.0" encoding="utf-8"?>
<ds:datastoreItem xmlns:ds="http://schemas.openxmlformats.org/officeDocument/2006/customXml" ds:itemID="{315B9E9A-5DEC-407E-AE1D-EE0A3D85BB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6BE1E9-CCEE-4467-950A-23257895AD5B}"/>
</file>

<file path=customXml/itemProps3.xml><?xml version="1.0" encoding="utf-8"?>
<ds:datastoreItem xmlns:ds="http://schemas.openxmlformats.org/officeDocument/2006/customXml" ds:itemID="{D56DDB82-9E41-492B-9C19-47F2B41744E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B56440F-F219-47B7-B767-B257BEDAB532}">
  <ds:schemaRefs>
    <ds:schemaRef ds:uri="http://schemas.openxmlformats.org/package/2006/metadata/core-properties"/>
    <ds:schemaRef ds:uri="http://schemas.microsoft.com/office/2006/metadata/properties"/>
    <ds:schemaRef ds:uri="68c064d1-6241-4aba-9925-cfda7d18b74b"/>
    <ds:schemaRef ds:uri="http://purl.org/dc/elements/1.1/"/>
    <ds:schemaRef ds:uri="http://schemas.microsoft.com/office/2006/documentManagement/types"/>
    <ds:schemaRef ds:uri="c02938a5-6ff1-4c8e-9e15-a94334838238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856f6e8b-769e-4fbd-ac4a-d1321f28ccb4}" enabled="1" method="Standard" siteId="{078256a4-c4a0-4e95-b107-2ae7d5db858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SFC Interlocking</vt:lpstr>
      <vt:lpstr>NL Interlocking</vt:lpstr>
      <vt:lpstr>Drive Systems</vt:lpstr>
      <vt:lpstr>LockoutTagout</vt:lpstr>
      <vt:lpstr>'Drive Systems'!Print_Area</vt:lpstr>
      <vt:lpstr>LockoutTagout!Print_Area</vt:lpstr>
      <vt:lpstr>'NL Interlocking'!Print_Area</vt:lpstr>
      <vt:lpstr>'SFC Interlocking'!Print_Area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2025-06-20T09:24:08Z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0x0101002D9B532A74BD5E48A19C6411C774DADB</vt:lpwstr>
  </property>
  <property fmtid="{D5CDD505-2E9C-101B-9397-08002B2CF9AE}" pid="3" name="_ExtendedDescription">
    <vt:lpwstr/>
  </property>
</Properties>
</file>